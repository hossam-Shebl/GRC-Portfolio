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6" tabRatio="500" activeTab="3"/>
  </bookViews>
  <sheets>
    <sheet name="Cover" sheetId="1" r:id="rId1"/>
    <sheet name="Clauses 4–10" sheetId="2" r:id="rId2"/>
    <sheet name="PDCA Cycle" sheetId="3" r:id="rId3"/>
    <sheet name="Risk Register" sheetId="4" r:id="rId4"/>
    <sheet name="Statement of Applicability" sheetId="5" r:id="rId5"/>
    <sheet name="Internal Audit Checklist" sheetId="6" r:id="rId6"/>
  </sheet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7" i="4" l="1"/>
  <c r="I8" i="4"/>
  <c r="I9" i="4"/>
  <c r="I10" i="4"/>
  <c r="I11" i="4"/>
  <c r="I12" i="4"/>
  <c r="I6" i="4"/>
  <c r="H13" i="4"/>
  <c r="I13" i="4" s="1"/>
  <c r="I4" i="4"/>
  <c r="I5" i="4"/>
  <c r="H6" i="4"/>
  <c r="H5" i="4"/>
  <c r="I3" i="4"/>
  <c r="H3" i="4" l="1"/>
  <c r="H12" i="4" l="1"/>
  <c r="H11" i="4"/>
  <c r="H10" i="4"/>
  <c r="H9" i="4"/>
  <c r="H8" i="4"/>
  <c r="H7" i="4"/>
  <c r="H4" i="4"/>
</calcChain>
</file>

<file path=xl/sharedStrings.xml><?xml version="1.0" encoding="utf-8"?>
<sst xmlns="http://schemas.openxmlformats.org/spreadsheetml/2006/main" count="655" uniqueCount="484">
  <si>
    <t>ISO/IEC 27001:2022 — ISMS Project Documentation</t>
  </si>
  <si>
    <t>Sheet</t>
  </si>
  <si>
    <t>Contents</t>
  </si>
  <si>
    <t>Clause / Reference</t>
  </si>
  <si>
    <t>Purpose</t>
  </si>
  <si>
    <t>1</t>
  </si>
  <si>
    <t>Clauses 4–10</t>
  </si>
  <si>
    <t>Full clause-by-clause breakdown of ISMS requirements</t>
  </si>
  <si>
    <t>ISO 27001 Clauses 4–10</t>
  </si>
  <si>
    <t>Understand &amp; document ISMS structure</t>
  </si>
  <si>
    <t>2</t>
  </si>
  <si>
    <t>PDCA Cycle</t>
  </si>
  <si>
    <t>Plan-Do-Check-Act mapped to ISMS activities with examples</t>
  </si>
  <si>
    <t>Demonstrate continual improvement</t>
  </si>
  <si>
    <t>3</t>
  </si>
  <si>
    <t>Risk Register</t>
  </si>
  <si>
    <t>Asset inventory, threats, likelihood/impact, risk treatment</t>
  </si>
  <si>
    <t>ISO 27001 Clause 6.1</t>
  </si>
  <si>
    <t>Core GRC deliverable — risk management</t>
  </si>
  <si>
    <t>4</t>
  </si>
  <si>
    <t>Statement of Applicability</t>
  </si>
  <si>
    <t>Annex A controls with applicability &amp; justification</t>
  </si>
  <si>
    <t>ISO 27001 Annex A</t>
  </si>
  <si>
    <t>SoA is mandatory for certification</t>
  </si>
  <si>
    <t>5</t>
  </si>
  <si>
    <t>Internal Audit Checklist</t>
  </si>
  <si>
    <t>Clause-by-clause audit questions &amp; evidence requirements</t>
  </si>
  <si>
    <t>ISO 27001 Clause 9.2</t>
  </si>
  <si>
    <t>Demonstrates audit readiness</t>
  </si>
  <si>
    <t>ISO/IEC 27001:2022 — Clauses 4 to 10 — ISMS Requirements</t>
  </si>
  <si>
    <t>Clause</t>
  </si>
  <si>
    <t>Clause Name</t>
  </si>
  <si>
    <t>Key Requirement</t>
  </si>
  <si>
    <t>What the Organization Must Do</t>
  </si>
  <si>
    <t>Practical Example</t>
  </si>
  <si>
    <t>PDCA Phase</t>
  </si>
  <si>
    <t>4.1</t>
  </si>
  <si>
    <t>Plan</t>
  </si>
  <si>
    <t>4.2</t>
  </si>
  <si>
    <t>4.3</t>
  </si>
  <si>
    <t>4.4</t>
  </si>
  <si>
    <t>5.1</t>
  </si>
  <si>
    <t>5.2</t>
  </si>
  <si>
    <t>5.3</t>
  </si>
  <si>
    <t>6.1</t>
  </si>
  <si>
    <t>Risk Assessment</t>
  </si>
  <si>
    <t>6.2</t>
  </si>
  <si>
    <t>Risk Treatment</t>
  </si>
  <si>
    <t>6.3</t>
  </si>
  <si>
    <t>7.1</t>
  </si>
  <si>
    <t>Resources</t>
  </si>
  <si>
    <t>Do</t>
  </si>
  <si>
    <t>7.2</t>
  </si>
  <si>
    <t>Competence</t>
  </si>
  <si>
    <t>7.3</t>
  </si>
  <si>
    <t>Awareness</t>
  </si>
  <si>
    <t>7.4</t>
  </si>
  <si>
    <t>7.5</t>
  </si>
  <si>
    <t>8.1</t>
  </si>
  <si>
    <t>8.2</t>
  </si>
  <si>
    <t>8.3</t>
  </si>
  <si>
    <t>9.1</t>
  </si>
  <si>
    <t>Check</t>
  </si>
  <si>
    <t>9.2</t>
  </si>
  <si>
    <t>Internal Audit</t>
  </si>
  <si>
    <t>9.3</t>
  </si>
  <si>
    <t>Management Review</t>
  </si>
  <si>
    <t>10.1</t>
  </si>
  <si>
    <t>Act</t>
  </si>
  <si>
    <t>10.2</t>
  </si>
  <si>
    <t>ISO/IEC 27001:2022 — PDCA Cycle Mapped to ISMS Activities</t>
  </si>
  <si>
    <t>Phase</t>
  </si>
  <si>
    <t>PDCA Activity</t>
  </si>
  <si>
    <t>ISO 27001 Clause</t>
  </si>
  <si>
    <t>ISMS Action</t>
  </si>
  <si>
    <t>Inputs</t>
  </si>
  <si>
    <t>Outputs</t>
  </si>
  <si>
    <t>PLAN</t>
  </si>
  <si>
    <t>Define ISMS scope</t>
  </si>
  <si>
    <t>Scope statement document</t>
  </si>
  <si>
    <t>Establish IS Policy</t>
  </si>
  <si>
    <t>Conduct Risk Assessment</t>
  </si>
  <si>
    <t>Define Risk Treatment</t>
  </si>
  <si>
    <t>Set Security Objectives</t>
  </si>
  <si>
    <t>DO</t>
  </si>
  <si>
    <t>Allocate Resources</t>
  </si>
  <si>
    <t>Implement Controls</t>
  </si>
  <si>
    <t>Risk Treatment Plan, SoA</t>
  </si>
  <si>
    <t>Run Awareness Training</t>
  </si>
  <si>
    <t>Manage Operations</t>
  </si>
  <si>
    <t>CHECK</t>
  </si>
  <si>
    <t>Monitor KPIs</t>
  </si>
  <si>
    <t>Conduct Internal Audit</t>
  </si>
  <si>
    <t>ACT</t>
  </si>
  <si>
    <t>Address Nonconformities</t>
  </si>
  <si>
    <t>Implement Improvements</t>
  </si>
  <si>
    <t>Update Risk Register</t>
  </si>
  <si>
    <t>6.1 / 8.2</t>
  </si>
  <si>
    <t>ISO/IEC 27001:2022 — Information Security Risk Register</t>
  </si>
  <si>
    <t>Asset</t>
  </si>
  <si>
    <t>Asset Owner</t>
  </si>
  <si>
    <t>Threat</t>
  </si>
  <si>
    <t>Vulnerability</t>
  </si>
  <si>
    <t>Likelihood
(1–5)</t>
  </si>
  <si>
    <t>Impact
(1–5)</t>
  </si>
  <si>
    <t>Risk Score
(L×I)</t>
  </si>
  <si>
    <t>Risk Level</t>
  </si>
  <si>
    <t>Treatment
Option</t>
  </si>
  <si>
    <t>Annex A Control</t>
  </si>
  <si>
    <t>Control Owner</t>
  </si>
  <si>
    <t>Status</t>
  </si>
  <si>
    <t>Review Date</t>
  </si>
  <si>
    <t>R-001</t>
  </si>
  <si>
    <t>Email System</t>
  </si>
  <si>
    <t>IT Manager</t>
  </si>
  <si>
    <t>Phishing Attack</t>
  </si>
  <si>
    <t>Lack of email filtering &amp; user awareness</t>
  </si>
  <si>
    <t>Mitigate</t>
  </si>
  <si>
    <t>A.8.23 Web filtering / A.6.3 Awareness</t>
  </si>
  <si>
    <t>Security Team</t>
  </si>
  <si>
    <t>In Progress</t>
  </si>
  <si>
    <t>R-002</t>
  </si>
  <si>
    <t>User Accounts</t>
  </si>
  <si>
    <t>Unauthorized Access</t>
  </si>
  <si>
    <t>Weak password policy, no MFA</t>
  </si>
  <si>
    <t>A.5.17 Authentication / A.8.5 Privileged access</t>
  </si>
  <si>
    <t>Completed</t>
  </si>
  <si>
    <t>R-003</t>
  </si>
  <si>
    <t>Customer Database</t>
  </si>
  <si>
    <t>Data Owner</t>
  </si>
  <si>
    <t>Data Breach</t>
  </si>
  <si>
    <t>Unencrypted data at rest</t>
  </si>
  <si>
    <t>A.8.24 Cryptography</t>
  </si>
  <si>
    <t>R-004</t>
  </si>
  <si>
    <t>Network Infrastructure</t>
  </si>
  <si>
    <t>Network Admin</t>
  </si>
  <si>
    <t>DDoS Attack</t>
  </si>
  <si>
    <t>No rate limiting or traffic filtering</t>
  </si>
  <si>
    <t>A.8.20 Network security</t>
  </si>
  <si>
    <t>Planned</t>
  </si>
  <si>
    <t>R-005</t>
  </si>
  <si>
    <t>Backup Systems</t>
  </si>
  <si>
    <t>Ransomware</t>
  </si>
  <si>
    <t>Backups not tested / not isolated</t>
  </si>
  <si>
    <t>A.8.13 Backup</t>
  </si>
  <si>
    <t>R-006</t>
  </si>
  <si>
    <t>Third Party Vendor</t>
  </si>
  <si>
    <t>Procurement</t>
  </si>
  <si>
    <t>Supply Chain Attack</t>
  </si>
  <si>
    <t>No vendor security assessment process</t>
  </si>
  <si>
    <t>A.5.19 Supplier relationships</t>
  </si>
  <si>
    <t>GRC Analyst</t>
  </si>
  <si>
    <t>R-007</t>
  </si>
  <si>
    <t>Physical Server Room</t>
  </si>
  <si>
    <t>Facilities</t>
  </si>
  <si>
    <t>Unauthorized Physical Access</t>
  </si>
  <si>
    <t>No CCTV, no access log</t>
  </si>
  <si>
    <t>A.7.2 Physical entry</t>
  </si>
  <si>
    <t>Facilities Mgr</t>
  </si>
  <si>
    <t>R-008</t>
  </si>
  <si>
    <t>Staff Laptops</t>
  </si>
  <si>
    <t>HR / IT</t>
  </si>
  <si>
    <t>Theft or Loss</t>
  </si>
  <si>
    <t>No full disk encryption, no remote wipe</t>
  </si>
  <si>
    <t>A.8.1 Endpoint devices</t>
  </si>
  <si>
    <t>R-009</t>
  </si>
  <si>
    <t>Cloud Services (AWS)</t>
  </si>
  <si>
    <t>Cloud Team</t>
  </si>
  <si>
    <t>Misconfiguration</t>
  </si>
  <si>
    <t>No cloud security policy or review process</t>
  </si>
  <si>
    <t>A.8.23 / A.5.23 Cloud security</t>
  </si>
  <si>
    <t>R-010</t>
  </si>
  <si>
    <t>HR Records</t>
  </si>
  <si>
    <t>HR Manager</t>
  </si>
  <si>
    <t>Insider Threat</t>
  </si>
  <si>
    <t>Excessive access privileges for HR staff</t>
  </si>
  <si>
    <t>A.5.18 Access rights</t>
  </si>
  <si>
    <t>ISO/IEC 27001:2022 — Statement of Applicability (SoA) — Selected Controls</t>
  </si>
  <si>
    <t>Control Ref</t>
  </si>
  <si>
    <t>Control Name</t>
  </si>
  <si>
    <t>Applicable?
(Yes/No)</t>
  </si>
  <si>
    <t>Justification for Inclusion</t>
  </si>
  <si>
    <t>Implementation Status</t>
  </si>
  <si>
    <t>Risk Ref</t>
  </si>
  <si>
    <t>Notes</t>
  </si>
  <si>
    <t>A.5.1</t>
  </si>
  <si>
    <t>Information security policies</t>
  </si>
  <si>
    <t>Yes</t>
  </si>
  <si>
    <t>Mandatory — defines the security direction for the whole organization</t>
  </si>
  <si>
    <t>All</t>
  </si>
  <si>
    <t>Approved by CEO; reviewed annually</t>
  </si>
  <si>
    <t>A.5.15</t>
  </si>
  <si>
    <t>Access control</t>
  </si>
  <si>
    <t>Required to prevent unauthorized access to systems and data</t>
  </si>
  <si>
    <t>Role-based access control being implemented</t>
  </si>
  <si>
    <t>A.5.17</t>
  </si>
  <si>
    <t>Authentication information</t>
  </si>
  <si>
    <t>Required to enforce strong password and MFA policies</t>
  </si>
  <si>
    <t>MFA deployed for all privileged accounts</t>
  </si>
  <si>
    <t>A.5.19</t>
  </si>
  <si>
    <t>Information security in supplier relationships</t>
  </si>
  <si>
    <t>Third parties handle customer data — TPRM process required</t>
  </si>
  <si>
    <t>Vendor assessment questionnaire in development</t>
  </si>
  <si>
    <t>A.5.23</t>
  </si>
  <si>
    <t>Information security for use of cloud services</t>
  </si>
  <si>
    <t>Organization uses AWS — cloud security controls required</t>
  </si>
  <si>
    <t>Cloud security policy being drafted</t>
  </si>
  <si>
    <t>A.6.3</t>
  </si>
  <si>
    <t>Information security awareness, education and training</t>
  </si>
  <si>
    <t>All staff must understand their security responsibilities</t>
  </si>
  <si>
    <t>Annual training + quarterly phishing simulations</t>
  </si>
  <si>
    <t>A.7.2</t>
  </si>
  <si>
    <t>Physical entry controls</t>
  </si>
  <si>
    <t>Server room and office security must be controlled</t>
  </si>
  <si>
    <t>CCTV and access log system planned for Q3</t>
  </si>
  <si>
    <t>A.8.1</t>
  </si>
  <si>
    <t>User endpoint devices</t>
  </si>
  <si>
    <t>Laptops and mobiles are high-risk — encryption and MDM needed</t>
  </si>
  <si>
    <t>MDM solution evaluation in progress</t>
  </si>
  <si>
    <t>A.8.5</t>
  </si>
  <si>
    <t>Secure authentication</t>
  </si>
  <si>
    <t>Privileged access requires strong authentication controls</t>
  </si>
  <si>
    <t>MFA enabled on all admin accounts</t>
  </si>
  <si>
    <t>A.8.12</t>
  </si>
  <si>
    <t>Data leakage prevention</t>
  </si>
  <si>
    <t>Customer data must be prevented from unauthorized exfiltration</t>
  </si>
  <si>
    <t>DLP tool evaluation planned for Q4</t>
  </si>
  <si>
    <t>A.8.13</t>
  </si>
  <si>
    <t>Information backup</t>
  </si>
  <si>
    <t>Critical data must be backed up and regularly tested</t>
  </si>
  <si>
    <t>Backup schedule defined; restore testing pending</t>
  </si>
  <si>
    <t>A.8.20</t>
  </si>
  <si>
    <t>Network security</t>
  </si>
  <si>
    <t>Network must be segmented and protected from attacks</t>
  </si>
  <si>
    <t>Network segmentation design in progress</t>
  </si>
  <si>
    <t>A.8.23</t>
  </si>
  <si>
    <t>Web filtering</t>
  </si>
  <si>
    <t>Reduce phishing and malicious web access risk</t>
  </si>
  <si>
    <t>Email filtering deployed; web proxy planned</t>
  </si>
  <si>
    <t>A.8.24</t>
  </si>
  <si>
    <t>Use of cryptography</t>
  </si>
  <si>
    <t>Sensitive data must be encrypted at rest and in transit</t>
  </si>
  <si>
    <t>TLS 1.2+ enforced; disk encryption in progress</t>
  </si>
  <si>
    <t>ISO/IEC 27001:2022 — Internal Audit Checklist (Clauses 4–10)</t>
  </si>
  <si>
    <t>Requirement</t>
  </si>
  <si>
    <t>Audit Question</t>
  </si>
  <si>
    <t>Evidence Required</t>
  </si>
  <si>
    <t>Finding
(C / NC / OFI)</t>
  </si>
  <si>
    <t>Auditor</t>
  </si>
  <si>
    <t>Context</t>
  </si>
  <si>
    <t>Has the organization identified internal and external issues relevant to the ISMS?</t>
  </si>
  <si>
    <t>Context analysis document, SWOT or PESTLE records</t>
  </si>
  <si>
    <t>C</t>
  </si>
  <si>
    <t>Context document last updated Jan 2025</t>
  </si>
  <si>
    <t>Interested Parties</t>
  </si>
  <si>
    <t>Are stakeholder requirements documented and kept up to date?</t>
  </si>
  <si>
    <t>Stakeholder register, requirements list</t>
  </si>
  <si>
    <t>10 stakeholders identified including CBE and customers</t>
  </si>
  <si>
    <t>Scope</t>
  </si>
  <si>
    <t>Is the ISMS scope clearly defined and documented?</t>
  </si>
  <si>
    <t>Scope covers Cairo HQ IT systems</t>
  </si>
  <si>
    <t>Leadership</t>
  </si>
  <si>
    <t>Does top management demonstrate commitment to the ISMS?</t>
  </si>
  <si>
    <t>Meeting minutes, signed policy, resource allocations</t>
  </si>
  <si>
    <t>CEO signed IS Policy; quarterly security review held</t>
  </si>
  <si>
    <t>Policy</t>
  </si>
  <si>
    <t>Is the IS policy approved, communicated, and available to staff?</t>
  </si>
  <si>
    <t>Published policy, communication records, staff acknowledgment</t>
  </si>
  <si>
    <t>Policy on intranet; 95% staff acknowledged</t>
  </si>
  <si>
    <t>Roles</t>
  </si>
  <si>
    <t>Are ISMS roles and responsibilities clearly assigned?</t>
  </si>
  <si>
    <t>Org chart, RACI matrix, job descriptions</t>
  </si>
  <si>
    <t>OFI</t>
  </si>
  <si>
    <t>RACI exists but not reviewed since 2023</t>
  </si>
  <si>
    <t>Has a formal risk assessment been performed using a defined methodology?</t>
  </si>
  <si>
    <t>Risk Register, methodology document, risk criteria</t>
  </si>
  <si>
    <t>Risk Register contains 10 risks; methodology documented</t>
  </si>
  <si>
    <t>Is there a Risk Treatment Plan linked to the Risk Register?</t>
  </si>
  <si>
    <t>NC</t>
  </si>
  <si>
    <t>SoA drafted but not formally approved by management</t>
  </si>
  <si>
    <t>Objectives</t>
  </si>
  <si>
    <t>Are information security objectives documented and measurable?</t>
  </si>
  <si>
    <t>Objectives document with KPIs and owners</t>
  </si>
  <si>
    <t>5 objectives defined with monthly KPI tracking</t>
  </si>
  <si>
    <t>Are adequate resources provided for the ISMS?</t>
  </si>
  <si>
    <t>Budget records, staffing records, tool licenses</t>
  </si>
  <si>
    <t>Security budget approved; SIEM license active</t>
  </si>
  <si>
    <t>Are staff competencies assessed and training provided?</t>
  </si>
  <si>
    <t>Training records, competency matrix</t>
  </si>
  <si>
    <t>Annual training completed; matrix reviewed Q1</t>
  </si>
  <si>
    <t>Are staff aware of the IS policy and their ISMS responsibilities?</t>
  </si>
  <si>
    <t>Awareness training records, phishing simulation results</t>
  </si>
  <si>
    <t>Phishing click rate at 12% — above 5% target</t>
  </si>
  <si>
    <t>Documentation</t>
  </si>
  <si>
    <t>Are documents controlled, versioned, and accessible?</t>
  </si>
  <si>
    <t>Document register, version history, access controls</t>
  </si>
  <si>
    <t>3 procedures not reviewed in over 12 months</t>
  </si>
  <si>
    <t>Are risk assessments conducted at planned intervals or after significant changes?</t>
  </si>
  <si>
    <t>Risk assessment schedule, dated risk records</t>
  </si>
  <si>
    <t>Annual assessment Jan 2025 completed</t>
  </si>
  <si>
    <t>Monitoring</t>
  </si>
  <si>
    <t>Are ISMS performance metrics defined and reported?</t>
  </si>
  <si>
    <t>KPI dashboard, monitoring reports</t>
  </si>
  <si>
    <t>Monthly KPI report reviewed by CISO</t>
  </si>
  <si>
    <t>Is there an internal audit programme with documented results?</t>
  </si>
  <si>
    <t>Audit plan, audit reports, corrective actions</t>
  </si>
  <si>
    <t>This audit (first of 2025)</t>
  </si>
  <si>
    <t>Has a management review been conducted with required inputs?</t>
  </si>
  <si>
    <t>Management review minutes, agenda, actions</t>
  </si>
  <si>
    <t>Review held Feb 2025; minutes on file</t>
  </si>
  <si>
    <t>Corrective Action</t>
  </si>
  <si>
    <t>Are nonconformities addressed with root cause analysis and corrective actions?</t>
  </si>
  <si>
    <t>Corrective Action Reports (CARs), closure evidence</t>
  </si>
  <si>
    <t>2 open CARs from previous audit not yet closed</t>
  </si>
  <si>
    <t>Legend</t>
  </si>
  <si>
    <t>Conformity — requirement met</t>
  </si>
  <si>
    <t>Nonconformity — requirement not met</t>
  </si>
  <si>
    <t>Opportunity for Improvement</t>
  </si>
  <si>
    <t>Number</t>
  </si>
  <si>
    <t>Prepared by: Hossam El-Deen Shebl  |  Purpose: LinkedIn GRC Portfolio Project  |  Date: 2026</t>
  </si>
  <si>
    <t>ISO 27001 Clauses 4-10 + PDCA</t>
  </si>
  <si>
    <t>RID</t>
  </si>
  <si>
    <t>A company in Egypt maps external issues: CBE regulations, Egyptian data protection laws, cyber threat landscape, Market competation. Internal Issues: Security Culture, Policies and process.</t>
  </si>
  <si>
    <t xml:space="preserve">Management approves the ISMS policy, allocates resources, promotes security culture, and ensures the ISMS acheives its intended outcomes. </t>
  </si>
  <si>
    <t>Set measurable security objectives — and communicate It with the interested parties.</t>
  </si>
  <si>
    <t>Define targets aligned to the policy and track progress — document In INFO SEC objectives.</t>
  </si>
  <si>
    <t>Identify competency gaps and provide training or hire accordingly, and  then evaluate the effectiveness of them.</t>
  </si>
  <si>
    <t>Allocate people, tools, budget, and infrastructure needed for the ISMS.</t>
  </si>
  <si>
    <t>Security team trained on ISO 27001; annual refresher for all staff, and HR hired Competent employees.</t>
  </si>
  <si>
    <t>Monthly security awareness emails; quarterly phishing simulation exercises, and provides SETA program for all staff regularly.</t>
  </si>
  <si>
    <t>Policy v2.1 approved by CEO on  01/03/2025; stored in GoogleDrive with access controls only to limited users.</t>
  </si>
  <si>
    <t>Conduct internal audits of the ISMS at planned intervals.</t>
  </si>
  <si>
    <t>Plan (Frequency, methods, Audit criteria and auditors) and perform audits to verify ISMS is conforming and effective— retain documentetd as evidence of the audit programee.</t>
  </si>
  <si>
    <t>Top management reviews the ISMS at planned Internvals.</t>
  </si>
  <si>
    <t>Formal management review meetings to ensure the ISMS is suitable, adqeuacy and effective — and to produce defined output.</t>
  </si>
  <si>
    <t>Context of the Organization.</t>
  </si>
  <si>
    <t>Needs of Interested Parties.</t>
  </si>
  <si>
    <t>Scope of the ISMS.</t>
  </si>
  <si>
    <t>ISMS Establishment.</t>
  </si>
  <si>
    <t>Leadership &amp; Commitment.</t>
  </si>
  <si>
    <t>Information Security Policy.</t>
  </si>
  <si>
    <t>Roles &amp; Responsibilities.</t>
  </si>
  <si>
    <t>Risk Assessment.</t>
  </si>
  <si>
    <t>Risk Treatment.</t>
  </si>
  <si>
    <t>Information Security Objectives.</t>
  </si>
  <si>
    <t>Resources.</t>
  </si>
  <si>
    <t>Competence.</t>
  </si>
  <si>
    <t>Awareness.</t>
  </si>
  <si>
    <t>Communication.</t>
  </si>
  <si>
    <t>Documented Information.</t>
  </si>
  <si>
    <t>Operatiol Planning and Control.</t>
  </si>
  <si>
    <t>Information Security Risk Assessment.</t>
  </si>
  <si>
    <t>Information Security Risk Treatment.</t>
  </si>
  <si>
    <t>Monitoring &amp; Measurement.</t>
  </si>
  <si>
    <t>Internal Audit.</t>
  </si>
  <si>
    <t>Management Review.</t>
  </si>
  <si>
    <t>Continual Improvement.</t>
  </si>
  <si>
    <t>Nonconformity &amp; Corrective Action.</t>
  </si>
  <si>
    <t>Address nonconformities and prevent recurrence.</t>
  </si>
  <si>
    <t>Continuously improve the ISMS.</t>
  </si>
  <si>
    <t>Monitor, and Measure the ISMS performance.</t>
  </si>
  <si>
    <t>Understand internal &amp; external issues.</t>
  </si>
  <si>
    <t>Identify the interested parties &amp; their requirements.</t>
  </si>
  <si>
    <t>Define what is covered by the ISMS, consider the: External and Internal Issue referred in 4.1, The requirements In 4.2 and Interfaces and dependecies between activities.</t>
  </si>
  <si>
    <t>Establish, implement, maintain &amp; improve the ISMS.</t>
  </si>
  <si>
    <t>Top management must actively support the ISMS.</t>
  </si>
  <si>
    <t>Define and communicate the IS policy.</t>
  </si>
  <si>
    <t>Management assigns ISMS roles clearly.</t>
  </si>
  <si>
    <t>Identify, analyze and  evaluate information security risks.</t>
  </si>
  <si>
    <t>Select and apply controls to treat risks.</t>
  </si>
  <si>
    <t>Determine, and Provide necessary resources.</t>
  </si>
  <si>
    <t>Determine the necessary Competence, and Ensure staff have required skills.</t>
  </si>
  <si>
    <t>Staff must be aware of the ISMS.</t>
  </si>
  <si>
    <t>Define internal and external communication.</t>
  </si>
  <si>
    <t>Creat, Update, and Control documents and records.</t>
  </si>
  <si>
    <t>Plan, Implement  and control ISMS processes.</t>
  </si>
  <si>
    <t>Perform risk assessments at planned intervals.</t>
  </si>
  <si>
    <t>Implement the risk treatment plan.</t>
  </si>
  <si>
    <t>When something goes wrong: contain it, find root cause, fix it, verify fix is effective.</t>
  </si>
  <si>
    <t>Identify opportunities for improvement and implement them systematically.</t>
  </si>
  <si>
    <t>Define what to measure, how, when, and who analyzes results.</t>
  </si>
  <si>
    <t>Apply selected controls from Annex A and document implementation.</t>
  </si>
  <si>
    <t>Conduct formal risk assessments at least semi-annually or when significant changes occur.</t>
  </si>
  <si>
    <t>Implement risk treatment plans referred in 6.2 and manage changes to ensure consistent operation.</t>
  </si>
  <si>
    <t>Maintain required documents (policies, procedures, records) and control their versioning.</t>
  </si>
  <si>
    <t>Who communicates what, when, and to whom regarding the ISMS.</t>
  </si>
  <si>
    <t>Communicate the IS policy, their contribution, and consequences of non-compliance.</t>
  </si>
  <si>
    <t>Choose treatment: Mitigate/ Accept / Transfer / Avoid  — document in Risk Treatment Plan — Produce a SoA.</t>
  </si>
  <si>
    <t>Define risk criteria, identify assets and threats, assess likelihood &amp; impact, prioritize risks.</t>
  </si>
  <si>
    <t>Define who is responsible for what: CISO, IT, risk owners, process owners.</t>
  </si>
  <si>
    <t>Create a high-level policy statement covering objectives, commitment, and improvement.</t>
  </si>
  <si>
    <t>Create and operate the ISMS according to the standard  this is the overarching commitment.</t>
  </si>
  <si>
    <t>Document the boundaries: which systems, sites, processes, and departments are in scope.</t>
  </si>
  <si>
    <t>List all parties whether they're Internal: (employees, Internal auditors, C-level management) or they're External: (regulators, clients, suppliers) and their security expectations.</t>
  </si>
  <si>
    <t>Identify factors that affect the ISMS: legal, regulatory, competitive, cultural.</t>
  </si>
  <si>
    <t>Bank lists: CBE (regulator), corporate clients, auditors (compliance evidence).</t>
  </si>
  <si>
    <t>Scope: 'All IT systems supporting retail banking operations in Cairo HQ'.</t>
  </si>
  <si>
    <t>The organization formally establishes the ISMS by creating policies, assigning roles, and beginning risk assessments.</t>
  </si>
  <si>
    <t>CEO signs the Information Security Policy; CISO reports directly to board.</t>
  </si>
  <si>
    <t>Published policy: 'We protect the confidentiality, integrity, and availability of all information assets'.</t>
  </si>
  <si>
    <t>CISO owns the ISMS; department heads own risks in their area; all staff follow the policy.</t>
  </si>
  <si>
    <t>Risk: Phishing attack on staff email — Likelihood: High, Impact: High, Risk Level: High.</t>
  </si>
  <si>
    <t>Critical phishing risk → Mitigate: implement email filtering, MFA, and phishing awareness training.</t>
  </si>
  <si>
    <t>Objective: Reduce phishing click rate from 15% to below 5% within 6 months.</t>
  </si>
  <si>
    <t>Budget approved for SIEM tool, security awareness platform, and ISO 27001 consultant.</t>
  </si>
  <si>
    <t>Internal: security incidents reported to CISO within 1 hour. External: breaches notified to regulator within 72 hours.</t>
  </si>
  <si>
    <t>Quarterly review of open risks and evaluate them; change management process for new systems.</t>
  </si>
  <si>
    <t>Semi-annual risk assessment scheduled every January and July; ad-hoc assessment triggered when new cloud system is introduced.</t>
  </si>
  <si>
    <t>MFA implemented for all privileged accounts; firewall rules updated; results documented in Risk Register.</t>
  </si>
  <si>
    <t>Monthly KPI report: number of incidents, patch compliance %, phishing click rate — reviewed by CISO.</t>
  </si>
  <si>
    <t>Annual internal audit covering all clauses; findings reported to management; corrective actions tracked.</t>
  </si>
  <si>
    <t>Semi-annual management review: review audit results, risks, objectives, resources — minutes recorded.</t>
  </si>
  <si>
    <t>After phishing simulation showed 12% click rate, new training module rolled out — target 5% next quarter.</t>
  </si>
  <si>
    <t>Audit found missing access reviews → Root cause: no Policy defined → Fix: quarterly access review procedure created.</t>
  </si>
  <si>
    <t>Determine what the ISMS will cover.</t>
  </si>
  <si>
    <t>Business context, stakeholder needs.</t>
  </si>
  <si>
    <t>Scope statement document.</t>
  </si>
  <si>
    <t>All IT systems at Cairo HQ supporting retail banking operations'.</t>
  </si>
  <si>
    <t>CEO approves policy stating commitment to CIA triad.</t>
  </si>
  <si>
    <t>Signed Information Security Policy v1.0.</t>
  </si>
  <si>
    <t>Leadership commitment, legal requirements.</t>
  </si>
  <si>
    <t>Write and approve the information security policy.</t>
  </si>
  <si>
    <t>Identify assets, threats, vulnerabilities; score likelihood &amp; impact.</t>
  </si>
  <si>
    <t>Asset inventory, threat landscape.</t>
  </si>
  <si>
    <t>Risk Register with scored risks.</t>
  </si>
  <si>
    <t>Email server identified as critical asset; phishing scored as High risk.</t>
  </si>
  <si>
    <t>Select controls from Annex A to treat identified risks.</t>
  </si>
  <si>
    <t>Risk Register.</t>
  </si>
  <si>
    <t>Risk Treatment Plan, SoA (Statement of Applicability).</t>
  </si>
  <si>
    <t>For phishing risk: implement MFA, email filtering, and awareness training.</t>
  </si>
  <si>
    <t>Define measurable targets aligned to the IS policy.</t>
  </si>
  <si>
    <t>Risk treatment decisions, policy.</t>
  </si>
  <si>
    <t>Documented security objectives with KPIs.</t>
  </si>
  <si>
    <t>Reduce unauthorized access incidents by 50% within 6 months.</t>
  </si>
  <si>
    <t>Provide budget, tools, and trained personnel.</t>
  </si>
  <si>
    <t>Management decisions, risk treatment plan.</t>
  </si>
  <si>
    <t>Resource allocation plan, approved budget.</t>
  </si>
  <si>
    <t>$50K budget approved for SIEM and security awareness platform.</t>
  </si>
  <si>
    <t>Deploy and configure selected Annex A controls.</t>
  </si>
  <si>
    <t>Risk Treatment Plan, SoA.</t>
  </si>
  <si>
    <t>Implemented controls, configuration records.</t>
  </si>
  <si>
    <t>MFA enabled on all 200 user accounts; firewall rules updated.</t>
  </si>
  <si>
    <t>Deliver security training to all relevant staff.</t>
  </si>
  <si>
    <t>Competency gaps identified.</t>
  </si>
  <si>
    <t>Training completion records, awareness metrics.</t>
  </si>
  <si>
    <t>100% of staff complete annual security awareness training by Q1.</t>
  </si>
  <si>
    <t>Execute day-to-day ISMS processes and manage changes.</t>
  </si>
  <si>
    <t>Operational plans, change requests.</t>
  </si>
  <si>
    <t>Incident logs, change records, operational reports.</t>
  </si>
  <si>
    <t>Monthly patching cycle completed; 3 incidents logged and resolved.</t>
  </si>
  <si>
    <t>Investigate root cause of issues; implement corrective actions.</t>
  </si>
  <si>
    <t>Take actions to continually improve the ISMS.</t>
  </si>
  <si>
    <t>Reassess risks based on changes, incidents, and audit results.</t>
  </si>
  <si>
    <t>Change log, incident data, audit findings.</t>
  </si>
  <si>
    <t>Performance data, review outputs.</t>
  </si>
  <si>
    <t>Audit findings, incident reports.</t>
  </si>
  <si>
    <t>Updated plans, new controls, improved processes.</t>
  </si>
  <si>
    <t>Updated Risk Register, revised treatment plans.</t>
  </si>
  <si>
    <t>Corrective Action Report (CAR), updated procedures.</t>
  </si>
  <si>
    <t>Root cause: no process for policy review → Fix: annual review calendar created and assigned.</t>
  </si>
  <si>
    <t>New phishing simulation platform implemented after click rate failed to meet target.</t>
  </si>
  <si>
    <t>New cloud migration project triggers risk reassessment; 5 new risks added to register.</t>
  </si>
  <si>
    <t>Board meeting: ISMS performing well; approved additional headcount for security team.</t>
  </si>
  <si>
    <t>Management review minutes, decisions on resources and improvements.</t>
  </si>
  <si>
    <t>Audit results, KPIs, incident data, risks.</t>
  </si>
  <si>
    <t>Hold formal review with leadership to assess ISMS status.</t>
  </si>
  <si>
    <t>Clause 7.5 finding: 3 policies not reviewed in 12 months — minor nonconformity raised.</t>
  </si>
  <si>
    <t>Audit report with findings and nonconformities.</t>
  </si>
  <si>
    <t>Audit plan, clause checklist.</t>
  </si>
  <si>
    <t>Audit ISMS against ISO 27001 requirements.</t>
  </si>
  <si>
    <t>Track security metrics and measure ISMS effectiveness.</t>
  </si>
  <si>
    <t>Defined measurement criteria.</t>
  </si>
  <si>
    <t>Monthly KPI dashboard, performance reports.</t>
  </si>
  <si>
    <t>Phishing click rate: Jan 15% → Feb 12% → Mar 9% — trending down.</t>
  </si>
  <si>
    <t>R-011</t>
  </si>
  <si>
    <t>Test Environment Server</t>
  </si>
  <si>
    <t>IT Department</t>
  </si>
  <si>
    <t>Unauthorized access</t>
  </si>
  <si>
    <t>Weak password on test account</t>
  </si>
  <si>
    <t>A.9 Access control</t>
  </si>
  <si>
    <t>H. Shebl</t>
  </si>
  <si>
    <t>Count</t>
  </si>
  <si>
    <t>Risk IDs</t>
  </si>
  <si>
    <t xml:space="preserve">Primary treament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</si>
</sst>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404040"/>
      <name val="Arial"/>
      <family val="2"/>
    </font>
    <font>
      <b/>
      <sz val="13"/>
      <color rgb="FFFFFFFF"/>
      <name val="Arial"/>
      <family val="2"/>
    </font>
    <font>
      <b/>
      <sz val="10"/>
      <color rgb="FF2E75B6"/>
      <name val="Arial"/>
      <family val="2"/>
    </font>
    <font>
      <b/>
      <sz val="10"/>
      <color rgb="FF375623"/>
      <name val="Arial"/>
      <family val="2"/>
    </font>
    <font>
      <b/>
      <sz val="10"/>
      <color rgb="FF7F6000"/>
      <name val="Arial"/>
      <family val="2"/>
    </font>
    <font>
      <b/>
      <sz val="10"/>
      <color rgb="FF7B0000"/>
      <name val="Arial"/>
      <family val="2"/>
    </font>
    <font>
      <b/>
      <sz val="11"/>
      <color rgb="FF2E75B6"/>
      <name val="Arial"/>
      <family val="2"/>
    </font>
    <font>
      <b/>
      <sz val="11"/>
      <color rgb="FF375623"/>
      <name val="Arial"/>
      <family val="2"/>
    </font>
    <font>
      <b/>
      <sz val="11"/>
      <color rgb="FF7F6000"/>
      <name val="Arial"/>
      <family val="2"/>
    </font>
    <font>
      <b/>
      <sz val="11"/>
      <color rgb="FF7B0000"/>
      <name val="Arial"/>
      <family val="2"/>
    </font>
    <font>
      <b/>
      <sz val="9"/>
      <color rgb="FFFFFFFF"/>
      <name val="Arial"/>
      <family val="2"/>
    </font>
    <font>
      <b/>
      <sz val="10"/>
      <color rgb="FF404040"/>
      <name val="Arial"/>
      <family val="2"/>
    </font>
    <font>
      <b/>
      <sz val="10"/>
      <color rgb="FF1F4E79"/>
      <name val="Arial"/>
      <family val="2"/>
    </font>
    <font>
      <b/>
      <sz val="10"/>
      <name val="Arial"/>
      <family val="2"/>
    </font>
    <font>
      <sz val="10"/>
      <color rgb="FF7B0000"/>
      <name val="Arial"/>
      <family val="2"/>
    </font>
    <font>
      <sz val="10"/>
      <color rgb="FF7F6000"/>
      <name val="Arial"/>
      <family val="2"/>
    </font>
    <font>
      <sz val="10"/>
      <color rgb="FF2E75B6"/>
      <name val="Arial"/>
      <family val="2"/>
    </font>
    <font>
      <sz val="10"/>
      <color rgb="FF375623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F4E79"/>
        <bgColor rgb="FF404040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BDD7EE"/>
        <bgColor rgb="FF99CCFF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theme="0"/>
        <bgColor rgb="FFDEEAF1"/>
      </patternFill>
    </fill>
    <fill>
      <patternFill patternType="solid">
        <fgColor theme="0"/>
        <bgColor rgb="FF0066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FCE4D6"/>
      </patternFill>
    </fill>
    <fill>
      <patternFill patternType="solid">
        <fgColor theme="0"/>
        <bgColor rgb="FF99CC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21" fillId="8" borderId="0" xfId="0" applyFont="1" applyFill="1" applyAlignment="1">
      <alignment horizontal="left" vertical="center" wrapText="1"/>
    </xf>
    <xf numFmtId="0" fontId="9" fillId="10" borderId="0" xfId="0" applyFont="1" applyFill="1" applyAlignment="1">
      <alignment horizontal="center" vertical="center" wrapText="1"/>
    </xf>
    <xf numFmtId="0" fontId="18" fillId="10" borderId="0" xfId="0" applyFont="1" applyFill="1" applyAlignment="1">
      <alignment horizontal="left" vertical="center" wrapText="1"/>
    </xf>
    <xf numFmtId="0" fontId="8" fillId="9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left" vertical="center" wrapText="1"/>
    </xf>
    <xf numFmtId="0" fontId="22" fillId="11" borderId="1" xfId="0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center" vertical="center" wrapText="1"/>
    </xf>
    <xf numFmtId="0" fontId="0" fillId="13" borderId="1" xfId="0" applyFill="1" applyBorder="1"/>
    <xf numFmtId="0" fontId="9" fillId="14" borderId="1" xfId="0" applyFont="1" applyFill="1" applyBorder="1" applyAlignment="1">
      <alignment horizontal="center" vertical="center" wrapText="1"/>
    </xf>
    <xf numFmtId="0" fontId="18" fillId="14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19" fillId="15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16" fontId="20" fillId="16" borderId="1" xfId="0" applyNumberFormat="1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vertical="center"/>
    </xf>
    <xf numFmtId="0" fontId="3" fillId="12" borderId="3" xfId="0" applyFont="1" applyFill="1" applyBorder="1" applyAlignment="1">
      <alignment vertical="center"/>
    </xf>
    <xf numFmtId="14" fontId="4" fillId="4" borderId="1" xfId="0" applyNumberFormat="1" applyFont="1" applyFill="1" applyBorder="1" applyAlignment="1">
      <alignment horizontal="left" vertical="center" wrapText="1"/>
    </xf>
    <xf numFmtId="14" fontId="4" fillId="7" borderId="1" xfId="0" applyNumberFormat="1" applyFont="1" applyFill="1" applyBorder="1" applyAlignment="1">
      <alignment horizontal="left" vertical="center" wrapText="1"/>
    </xf>
    <xf numFmtId="0" fontId="4" fillId="6" borderId="1" xfId="0" quotePrefix="1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rgb="FF00B05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4E79"/>
      <rgbColor rgb="FF339966"/>
      <rgbColor rgb="FF003300"/>
      <rgbColor rgb="FF375623"/>
      <rgbColor rgb="FF993300"/>
      <rgbColor rgb="FF993366"/>
      <rgbColor rgb="FF4F3B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B1:H10"/>
  <sheetViews>
    <sheetView showGridLines="0" zoomScale="110" zoomScaleNormal="110" workbookViewId="0">
      <selection activeCell="C29" sqref="C29"/>
    </sheetView>
  </sheetViews>
  <sheetFormatPr defaultColWidth="8.6640625" defaultRowHeight="14.4" x14ac:dyDescent="0.3"/>
  <cols>
    <col min="1" max="1" width="2" customWidth="1"/>
    <col min="2" max="2" width="8" customWidth="1"/>
    <col min="3" max="3" width="22" customWidth="1"/>
    <col min="4" max="4" width="54.44140625" customWidth="1"/>
    <col min="5" max="5" width="34.44140625" customWidth="1"/>
    <col min="6" max="6" width="40.44140625" customWidth="1"/>
    <col min="7" max="7" width="5.44140625" customWidth="1"/>
    <col min="8" max="8" width="7.109375" customWidth="1"/>
  </cols>
  <sheetData>
    <row r="1" spans="2:8" ht="15" customHeight="1" x14ac:dyDescent="0.3"/>
    <row r="2" spans="2:8" ht="36" customHeight="1" x14ac:dyDescent="0.3">
      <c r="B2" s="49" t="s">
        <v>0</v>
      </c>
      <c r="C2" s="49"/>
      <c r="D2" s="49"/>
      <c r="E2" s="49"/>
      <c r="F2" s="49"/>
      <c r="G2" s="49"/>
      <c r="H2" s="49"/>
    </row>
    <row r="3" spans="2:8" ht="21.75" customHeight="1" x14ac:dyDescent="0.3">
      <c r="B3" s="50" t="s">
        <v>319</v>
      </c>
      <c r="C3" s="50"/>
      <c r="D3" s="50"/>
      <c r="E3" s="50"/>
      <c r="F3" s="50"/>
      <c r="G3" s="50"/>
      <c r="H3" s="50"/>
    </row>
    <row r="4" spans="2:8" ht="12" customHeight="1" x14ac:dyDescent="0.3"/>
    <row r="5" spans="2:8" x14ac:dyDescent="0.3">
      <c r="B5" s="1" t="s">
        <v>318</v>
      </c>
      <c r="C5" s="1" t="s">
        <v>1</v>
      </c>
      <c r="D5" s="1" t="s">
        <v>2</v>
      </c>
      <c r="E5" s="1" t="s">
        <v>3</v>
      </c>
      <c r="F5" s="1" t="s">
        <v>4</v>
      </c>
    </row>
    <row r="6" spans="2:8" ht="21.75" customHeight="1" x14ac:dyDescent="0.3"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</row>
    <row r="7" spans="2:8" ht="21.75" customHeight="1" x14ac:dyDescent="0.3">
      <c r="B7" s="3" t="s">
        <v>10</v>
      </c>
      <c r="C7" s="3" t="s">
        <v>11</v>
      </c>
      <c r="D7" s="3" t="s">
        <v>12</v>
      </c>
      <c r="E7" s="3" t="s">
        <v>320</v>
      </c>
      <c r="F7" s="3" t="s">
        <v>13</v>
      </c>
    </row>
    <row r="8" spans="2:8" ht="21.75" customHeight="1" x14ac:dyDescent="0.3">
      <c r="B8" s="2" t="s">
        <v>14</v>
      </c>
      <c r="C8" s="2" t="s">
        <v>15</v>
      </c>
      <c r="D8" s="2" t="s">
        <v>16</v>
      </c>
      <c r="E8" s="2" t="s">
        <v>17</v>
      </c>
      <c r="F8" s="2" t="s">
        <v>18</v>
      </c>
    </row>
    <row r="9" spans="2:8" ht="21.75" customHeight="1" x14ac:dyDescent="0.3">
      <c r="B9" s="3" t="s">
        <v>19</v>
      </c>
      <c r="C9" s="3" t="s">
        <v>20</v>
      </c>
      <c r="D9" s="3" t="s">
        <v>21</v>
      </c>
      <c r="E9" s="3" t="s">
        <v>22</v>
      </c>
      <c r="F9" s="3" t="s">
        <v>23</v>
      </c>
    </row>
    <row r="10" spans="2:8" ht="21.75" customHeight="1" x14ac:dyDescent="0.3">
      <c r="B10" s="2" t="s">
        <v>24</v>
      </c>
      <c r="C10" s="2" t="s">
        <v>25</v>
      </c>
      <c r="D10" s="2" t="s">
        <v>26</v>
      </c>
      <c r="E10" s="2" t="s">
        <v>27</v>
      </c>
      <c r="F10" s="2" t="s">
        <v>28</v>
      </c>
    </row>
  </sheetData>
  <mergeCells count="2">
    <mergeCell ref="B2:H2"/>
    <mergeCell ref="B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F25"/>
  <sheetViews>
    <sheetView showGridLines="0" zoomScaleNormal="100" workbookViewId="0">
      <pane ySplit="2" topLeftCell="A19" activePane="bottomLeft" state="frozen"/>
      <selection pane="bottomLeft" activeCell="B33" sqref="B33"/>
    </sheetView>
  </sheetViews>
  <sheetFormatPr defaultColWidth="8.6640625" defaultRowHeight="14.4" x14ac:dyDescent="0.3"/>
  <cols>
    <col min="1" max="1" width="8" customWidth="1"/>
    <col min="2" max="2" width="28" customWidth="1"/>
    <col min="3" max="3" width="33.44140625" customWidth="1"/>
    <col min="4" max="4" width="48.33203125" customWidth="1"/>
    <col min="5" max="5" width="57.21875" customWidth="1"/>
    <col min="6" max="6" width="36.21875" customWidth="1"/>
  </cols>
  <sheetData>
    <row r="1" spans="1:6" ht="30" customHeight="1" x14ac:dyDescent="0.3">
      <c r="A1" s="51" t="s">
        <v>29</v>
      </c>
      <c r="B1" s="51"/>
      <c r="C1" s="51"/>
      <c r="D1" s="51"/>
      <c r="E1" s="51"/>
      <c r="F1" s="51"/>
    </row>
    <row r="2" spans="1:6" ht="21.75" customHeight="1" x14ac:dyDescent="0.3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</row>
    <row r="3" spans="1:6" ht="51.75" customHeight="1" x14ac:dyDescent="0.3">
      <c r="A3" s="4" t="s">
        <v>36</v>
      </c>
      <c r="B3" s="2" t="s">
        <v>335</v>
      </c>
      <c r="C3" s="2" t="s">
        <v>361</v>
      </c>
      <c r="D3" s="2" t="s">
        <v>394</v>
      </c>
      <c r="E3" s="2" t="s">
        <v>322</v>
      </c>
      <c r="F3" s="5" t="s">
        <v>37</v>
      </c>
    </row>
    <row r="4" spans="1:6" ht="51.75" customHeight="1" x14ac:dyDescent="0.3">
      <c r="A4" s="6" t="s">
        <v>38</v>
      </c>
      <c r="B4" s="7" t="s">
        <v>336</v>
      </c>
      <c r="C4" s="7" t="s">
        <v>362</v>
      </c>
      <c r="D4" s="7" t="s">
        <v>393</v>
      </c>
      <c r="E4" s="7" t="s">
        <v>395</v>
      </c>
      <c r="F4" s="5" t="s">
        <v>37</v>
      </c>
    </row>
    <row r="5" spans="1:6" ht="51.75" customHeight="1" x14ac:dyDescent="0.3">
      <c r="A5" s="4" t="s">
        <v>39</v>
      </c>
      <c r="B5" s="2" t="s">
        <v>337</v>
      </c>
      <c r="C5" s="2" t="s">
        <v>363</v>
      </c>
      <c r="D5" s="2" t="s">
        <v>392</v>
      </c>
      <c r="E5" s="2" t="s">
        <v>396</v>
      </c>
      <c r="F5" s="5" t="s">
        <v>37</v>
      </c>
    </row>
    <row r="6" spans="1:6" ht="51.75" customHeight="1" x14ac:dyDescent="0.3">
      <c r="A6" s="6" t="s">
        <v>40</v>
      </c>
      <c r="B6" s="7" t="s">
        <v>338</v>
      </c>
      <c r="C6" s="7" t="s">
        <v>364</v>
      </c>
      <c r="D6" s="7" t="s">
        <v>391</v>
      </c>
      <c r="E6" s="7" t="s">
        <v>397</v>
      </c>
      <c r="F6" s="5" t="s">
        <v>37</v>
      </c>
    </row>
    <row r="7" spans="1:6" ht="51.75" customHeight="1" x14ac:dyDescent="0.3">
      <c r="A7" s="4" t="s">
        <v>41</v>
      </c>
      <c r="B7" s="2" t="s">
        <v>339</v>
      </c>
      <c r="C7" s="2" t="s">
        <v>365</v>
      </c>
      <c r="D7" s="2" t="s">
        <v>323</v>
      </c>
      <c r="E7" s="2" t="s">
        <v>398</v>
      </c>
      <c r="F7" s="5" t="s">
        <v>37</v>
      </c>
    </row>
    <row r="8" spans="1:6" ht="51.75" customHeight="1" x14ac:dyDescent="0.3">
      <c r="A8" s="6" t="s">
        <v>42</v>
      </c>
      <c r="B8" s="7" t="s">
        <v>340</v>
      </c>
      <c r="C8" s="7" t="s">
        <v>366</v>
      </c>
      <c r="D8" s="7" t="s">
        <v>390</v>
      </c>
      <c r="E8" s="7" t="s">
        <v>399</v>
      </c>
      <c r="F8" s="5" t="s">
        <v>37</v>
      </c>
    </row>
    <row r="9" spans="1:6" ht="51.75" customHeight="1" x14ac:dyDescent="0.3">
      <c r="A9" s="4" t="s">
        <v>43</v>
      </c>
      <c r="B9" s="2" t="s">
        <v>341</v>
      </c>
      <c r="C9" s="2" t="s">
        <v>367</v>
      </c>
      <c r="D9" s="2" t="s">
        <v>389</v>
      </c>
      <c r="E9" s="2" t="s">
        <v>400</v>
      </c>
      <c r="F9" s="5" t="s">
        <v>37</v>
      </c>
    </row>
    <row r="10" spans="1:6" ht="51.75" customHeight="1" x14ac:dyDescent="0.3">
      <c r="A10" s="6" t="s">
        <v>44</v>
      </c>
      <c r="B10" s="7" t="s">
        <v>342</v>
      </c>
      <c r="C10" s="7" t="s">
        <v>368</v>
      </c>
      <c r="D10" s="7" t="s">
        <v>388</v>
      </c>
      <c r="E10" s="7" t="s">
        <v>401</v>
      </c>
      <c r="F10" s="5" t="s">
        <v>37</v>
      </c>
    </row>
    <row r="11" spans="1:6" ht="51.75" customHeight="1" x14ac:dyDescent="0.3">
      <c r="A11" s="4" t="s">
        <v>46</v>
      </c>
      <c r="B11" s="2" t="s">
        <v>343</v>
      </c>
      <c r="C11" s="2" t="s">
        <v>369</v>
      </c>
      <c r="D11" s="2" t="s">
        <v>387</v>
      </c>
      <c r="E11" s="2" t="s">
        <v>402</v>
      </c>
      <c r="F11" s="5" t="s">
        <v>37</v>
      </c>
    </row>
    <row r="12" spans="1:6" ht="51.75" customHeight="1" x14ac:dyDescent="0.3">
      <c r="A12" s="6" t="s">
        <v>48</v>
      </c>
      <c r="B12" s="7" t="s">
        <v>344</v>
      </c>
      <c r="C12" s="7" t="s">
        <v>324</v>
      </c>
      <c r="D12" s="7" t="s">
        <v>325</v>
      </c>
      <c r="E12" s="7" t="s">
        <v>403</v>
      </c>
      <c r="F12" s="5" t="s">
        <v>37</v>
      </c>
    </row>
    <row r="13" spans="1:6" ht="51.75" customHeight="1" x14ac:dyDescent="0.3">
      <c r="A13" s="4" t="s">
        <v>49</v>
      </c>
      <c r="B13" s="2" t="s">
        <v>345</v>
      </c>
      <c r="C13" s="2" t="s">
        <v>370</v>
      </c>
      <c r="D13" s="2" t="s">
        <v>327</v>
      </c>
      <c r="E13" s="2" t="s">
        <v>404</v>
      </c>
      <c r="F13" s="8" t="s">
        <v>51</v>
      </c>
    </row>
    <row r="14" spans="1:6" ht="51.75" customHeight="1" x14ac:dyDescent="0.3">
      <c r="A14" s="6" t="s">
        <v>52</v>
      </c>
      <c r="B14" s="7" t="s">
        <v>346</v>
      </c>
      <c r="C14" s="7" t="s">
        <v>371</v>
      </c>
      <c r="D14" s="7" t="s">
        <v>326</v>
      </c>
      <c r="E14" s="7" t="s">
        <v>328</v>
      </c>
      <c r="F14" s="8" t="s">
        <v>51</v>
      </c>
    </row>
    <row r="15" spans="1:6" ht="51.75" customHeight="1" x14ac:dyDescent="0.3">
      <c r="A15" s="4" t="s">
        <v>54</v>
      </c>
      <c r="B15" s="2" t="s">
        <v>347</v>
      </c>
      <c r="C15" s="2" t="s">
        <v>372</v>
      </c>
      <c r="D15" s="2" t="s">
        <v>386</v>
      </c>
      <c r="E15" s="2" t="s">
        <v>329</v>
      </c>
      <c r="F15" s="8" t="s">
        <v>51</v>
      </c>
    </row>
    <row r="16" spans="1:6" ht="51.75" customHeight="1" x14ac:dyDescent="0.3">
      <c r="A16" s="6" t="s">
        <v>56</v>
      </c>
      <c r="B16" s="7" t="s">
        <v>348</v>
      </c>
      <c r="C16" s="7" t="s">
        <v>373</v>
      </c>
      <c r="D16" s="7" t="s">
        <v>385</v>
      </c>
      <c r="E16" s="7" t="s">
        <v>405</v>
      </c>
      <c r="F16" s="8" t="s">
        <v>51</v>
      </c>
    </row>
    <row r="17" spans="1:6" ht="51.75" customHeight="1" x14ac:dyDescent="0.3">
      <c r="A17" s="4" t="s">
        <v>57</v>
      </c>
      <c r="B17" s="2" t="s">
        <v>349</v>
      </c>
      <c r="C17" s="2" t="s">
        <v>374</v>
      </c>
      <c r="D17" s="2" t="s">
        <v>384</v>
      </c>
      <c r="E17" s="2" t="s">
        <v>330</v>
      </c>
      <c r="F17" s="8" t="s">
        <v>51</v>
      </c>
    </row>
    <row r="18" spans="1:6" ht="51.75" customHeight="1" x14ac:dyDescent="0.3">
      <c r="A18" s="6" t="s">
        <v>58</v>
      </c>
      <c r="B18" s="7" t="s">
        <v>350</v>
      </c>
      <c r="C18" s="7" t="s">
        <v>375</v>
      </c>
      <c r="D18" s="7" t="s">
        <v>383</v>
      </c>
      <c r="E18" s="7" t="s">
        <v>406</v>
      </c>
      <c r="F18" s="8" t="s">
        <v>51</v>
      </c>
    </row>
    <row r="19" spans="1:6" ht="51.75" customHeight="1" x14ac:dyDescent="0.3">
      <c r="A19" s="4" t="s">
        <v>59</v>
      </c>
      <c r="B19" s="2" t="s">
        <v>351</v>
      </c>
      <c r="C19" s="2" t="s">
        <v>376</v>
      </c>
      <c r="D19" s="2" t="s">
        <v>382</v>
      </c>
      <c r="E19" s="2" t="s">
        <v>407</v>
      </c>
      <c r="F19" s="8" t="s">
        <v>51</v>
      </c>
    </row>
    <row r="20" spans="1:6" ht="51.75" customHeight="1" x14ac:dyDescent="0.3">
      <c r="A20" s="6" t="s">
        <v>60</v>
      </c>
      <c r="B20" s="7" t="s">
        <v>352</v>
      </c>
      <c r="C20" s="7" t="s">
        <v>377</v>
      </c>
      <c r="D20" s="7" t="s">
        <v>381</v>
      </c>
      <c r="E20" s="7" t="s">
        <v>408</v>
      </c>
      <c r="F20" s="8" t="s">
        <v>51</v>
      </c>
    </row>
    <row r="21" spans="1:6" ht="51.75" customHeight="1" x14ac:dyDescent="0.3">
      <c r="A21" s="4" t="s">
        <v>61</v>
      </c>
      <c r="B21" s="2" t="s">
        <v>353</v>
      </c>
      <c r="C21" s="2" t="s">
        <v>360</v>
      </c>
      <c r="D21" s="2" t="s">
        <v>380</v>
      </c>
      <c r="E21" s="2" t="s">
        <v>409</v>
      </c>
      <c r="F21" s="9" t="s">
        <v>62</v>
      </c>
    </row>
    <row r="22" spans="1:6" ht="51.75" customHeight="1" x14ac:dyDescent="0.3">
      <c r="A22" s="6" t="s">
        <v>63</v>
      </c>
      <c r="B22" s="7" t="s">
        <v>354</v>
      </c>
      <c r="C22" s="7" t="s">
        <v>331</v>
      </c>
      <c r="D22" s="7" t="s">
        <v>332</v>
      </c>
      <c r="E22" s="7" t="s">
        <v>410</v>
      </c>
      <c r="F22" s="9" t="s">
        <v>62</v>
      </c>
    </row>
    <row r="23" spans="1:6" ht="51.75" customHeight="1" x14ac:dyDescent="0.3">
      <c r="A23" s="4" t="s">
        <v>65</v>
      </c>
      <c r="B23" s="2" t="s">
        <v>355</v>
      </c>
      <c r="C23" s="2" t="s">
        <v>333</v>
      </c>
      <c r="D23" s="2" t="s">
        <v>334</v>
      </c>
      <c r="E23" s="2" t="s">
        <v>411</v>
      </c>
      <c r="F23" s="9" t="s">
        <v>62</v>
      </c>
    </row>
    <row r="24" spans="1:6" ht="51.75" customHeight="1" x14ac:dyDescent="0.3">
      <c r="A24" s="6" t="s">
        <v>67</v>
      </c>
      <c r="B24" s="7" t="s">
        <v>356</v>
      </c>
      <c r="C24" s="7" t="s">
        <v>359</v>
      </c>
      <c r="D24" s="7" t="s">
        <v>379</v>
      </c>
      <c r="E24" s="7" t="s">
        <v>412</v>
      </c>
      <c r="F24" s="10" t="s">
        <v>68</v>
      </c>
    </row>
    <row r="25" spans="1:6" ht="51.75" customHeight="1" x14ac:dyDescent="0.3">
      <c r="A25" s="4" t="s">
        <v>69</v>
      </c>
      <c r="B25" s="2" t="s">
        <v>357</v>
      </c>
      <c r="C25" s="2" t="s">
        <v>358</v>
      </c>
      <c r="D25" s="2" t="s">
        <v>378</v>
      </c>
      <c r="E25" s="2" t="s">
        <v>413</v>
      </c>
      <c r="F25" s="10" t="s">
        <v>68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5623"/>
  </sheetPr>
  <dimension ref="A1:G17"/>
  <sheetViews>
    <sheetView showGridLines="0" topLeftCell="B1" zoomScale="110" zoomScaleNormal="110" workbookViewId="0">
      <pane ySplit="2" topLeftCell="A11" activePane="bottomLeft" state="frozen"/>
      <selection pane="bottomLeft" activeCell="D11" sqref="D11"/>
    </sheetView>
  </sheetViews>
  <sheetFormatPr defaultColWidth="8.6640625" defaultRowHeight="14.4" x14ac:dyDescent="0.3"/>
  <cols>
    <col min="1" max="1" width="9" customWidth="1"/>
    <col min="2" max="2" width="28" customWidth="1"/>
    <col min="3" max="3" width="16" customWidth="1"/>
    <col min="4" max="4" width="36" customWidth="1"/>
    <col min="5" max="5" width="28" customWidth="1"/>
    <col min="6" max="6" width="30" customWidth="1"/>
    <col min="7" max="7" width="42" customWidth="1"/>
  </cols>
  <sheetData>
    <row r="1" spans="1:7" ht="30" customHeight="1" x14ac:dyDescent="0.3">
      <c r="A1" s="51" t="s">
        <v>70</v>
      </c>
      <c r="B1" s="51"/>
      <c r="C1" s="51"/>
      <c r="D1" s="51"/>
      <c r="E1" s="51"/>
      <c r="F1" s="51"/>
      <c r="G1" s="51"/>
    </row>
    <row r="2" spans="1:7" x14ac:dyDescent="0.3">
      <c r="A2" s="1" t="s">
        <v>71</v>
      </c>
      <c r="B2" s="1" t="s">
        <v>72</v>
      </c>
      <c r="C2" s="1" t="s">
        <v>73</v>
      </c>
      <c r="D2" s="1" t="s">
        <v>74</v>
      </c>
      <c r="E2" s="1" t="s">
        <v>75</v>
      </c>
      <c r="F2" s="1" t="s">
        <v>76</v>
      </c>
      <c r="G2" s="1" t="s">
        <v>34</v>
      </c>
    </row>
    <row r="3" spans="1:7" ht="51.75" customHeight="1" x14ac:dyDescent="0.3">
      <c r="A3" s="11" t="s">
        <v>77</v>
      </c>
      <c r="B3" s="12" t="s">
        <v>78</v>
      </c>
      <c r="C3" s="12" t="s">
        <v>39</v>
      </c>
      <c r="D3" s="12" t="s">
        <v>414</v>
      </c>
      <c r="E3" s="12" t="s">
        <v>415</v>
      </c>
      <c r="F3" s="12" t="s">
        <v>416</v>
      </c>
      <c r="G3" s="48" t="s">
        <v>417</v>
      </c>
    </row>
    <row r="4" spans="1:7" ht="51.75" customHeight="1" x14ac:dyDescent="0.3">
      <c r="A4" s="11" t="s">
        <v>77</v>
      </c>
      <c r="B4" s="12" t="s">
        <v>80</v>
      </c>
      <c r="C4" s="12" t="s">
        <v>42</v>
      </c>
      <c r="D4" s="12" t="s">
        <v>421</v>
      </c>
      <c r="E4" s="12" t="s">
        <v>420</v>
      </c>
      <c r="F4" s="12" t="s">
        <v>419</v>
      </c>
      <c r="G4" s="12" t="s">
        <v>418</v>
      </c>
    </row>
    <row r="5" spans="1:7" ht="51.75" customHeight="1" x14ac:dyDescent="0.3">
      <c r="A5" s="11" t="s">
        <v>77</v>
      </c>
      <c r="B5" s="12" t="s">
        <v>81</v>
      </c>
      <c r="C5" s="12" t="s">
        <v>44</v>
      </c>
      <c r="D5" s="12" t="s">
        <v>422</v>
      </c>
      <c r="E5" s="12" t="s">
        <v>423</v>
      </c>
      <c r="F5" s="12" t="s">
        <v>424</v>
      </c>
      <c r="G5" s="12" t="s">
        <v>425</v>
      </c>
    </row>
    <row r="6" spans="1:7" ht="51.75" customHeight="1" x14ac:dyDescent="0.3">
      <c r="A6" s="11" t="s">
        <v>77</v>
      </c>
      <c r="B6" s="12" t="s">
        <v>82</v>
      </c>
      <c r="C6" s="12" t="s">
        <v>46</v>
      </c>
      <c r="D6" s="12" t="s">
        <v>426</v>
      </c>
      <c r="E6" s="12" t="s">
        <v>427</v>
      </c>
      <c r="F6" s="12" t="s">
        <v>428</v>
      </c>
      <c r="G6" s="12" t="s">
        <v>429</v>
      </c>
    </row>
    <row r="7" spans="1:7" ht="51.75" customHeight="1" x14ac:dyDescent="0.3">
      <c r="A7" s="11" t="s">
        <v>77</v>
      </c>
      <c r="B7" s="12" t="s">
        <v>83</v>
      </c>
      <c r="C7" s="12" t="s">
        <v>48</v>
      </c>
      <c r="D7" s="12" t="s">
        <v>430</v>
      </c>
      <c r="E7" s="12" t="s">
        <v>431</v>
      </c>
      <c r="F7" s="12" t="s">
        <v>432</v>
      </c>
      <c r="G7" s="12" t="s">
        <v>433</v>
      </c>
    </row>
    <row r="8" spans="1:7" ht="51.75" customHeight="1" x14ac:dyDescent="0.3">
      <c r="A8" s="13" t="s">
        <v>84</v>
      </c>
      <c r="B8" s="14" t="s">
        <v>85</v>
      </c>
      <c r="C8" s="14" t="s">
        <v>49</v>
      </c>
      <c r="D8" s="14" t="s">
        <v>434</v>
      </c>
      <c r="E8" s="14" t="s">
        <v>435</v>
      </c>
      <c r="F8" s="14" t="s">
        <v>436</v>
      </c>
      <c r="G8" s="14" t="s">
        <v>437</v>
      </c>
    </row>
    <row r="9" spans="1:7" ht="51.75" customHeight="1" x14ac:dyDescent="0.3">
      <c r="A9" s="13" t="s">
        <v>84</v>
      </c>
      <c r="B9" s="14" t="s">
        <v>86</v>
      </c>
      <c r="C9" s="14" t="s">
        <v>60</v>
      </c>
      <c r="D9" s="14" t="s">
        <v>438</v>
      </c>
      <c r="E9" s="14" t="s">
        <v>439</v>
      </c>
      <c r="F9" s="14" t="s">
        <v>440</v>
      </c>
      <c r="G9" s="14" t="s">
        <v>441</v>
      </c>
    </row>
    <row r="10" spans="1:7" ht="51.75" customHeight="1" x14ac:dyDescent="0.3">
      <c r="A10" s="13" t="s">
        <v>84</v>
      </c>
      <c r="B10" s="14" t="s">
        <v>88</v>
      </c>
      <c r="C10" s="14" t="s">
        <v>54</v>
      </c>
      <c r="D10" s="14" t="s">
        <v>442</v>
      </c>
      <c r="E10" s="14" t="s">
        <v>443</v>
      </c>
      <c r="F10" s="14" t="s">
        <v>444</v>
      </c>
      <c r="G10" s="14" t="s">
        <v>445</v>
      </c>
    </row>
    <row r="11" spans="1:7" ht="51.75" customHeight="1" x14ac:dyDescent="0.3">
      <c r="A11" s="13" t="s">
        <v>84</v>
      </c>
      <c r="B11" s="14" t="s">
        <v>89</v>
      </c>
      <c r="C11" s="14" t="s">
        <v>58</v>
      </c>
      <c r="D11" s="14" t="s">
        <v>446</v>
      </c>
      <c r="E11" s="14" t="s">
        <v>447</v>
      </c>
      <c r="F11" s="14" t="s">
        <v>448</v>
      </c>
      <c r="G11" s="14" t="s">
        <v>449</v>
      </c>
    </row>
    <row r="12" spans="1:7" ht="51.75" customHeight="1" x14ac:dyDescent="0.3">
      <c r="A12" s="15" t="s">
        <v>90</v>
      </c>
      <c r="B12" s="16" t="s">
        <v>91</v>
      </c>
      <c r="C12" s="16" t="s">
        <v>61</v>
      </c>
      <c r="D12" s="16" t="s">
        <v>470</v>
      </c>
      <c r="E12" s="16" t="s">
        <v>471</v>
      </c>
      <c r="F12" s="16" t="s">
        <v>472</v>
      </c>
      <c r="G12" s="16" t="s">
        <v>473</v>
      </c>
    </row>
    <row r="13" spans="1:7" ht="51.75" customHeight="1" x14ac:dyDescent="0.3">
      <c r="A13" s="15" t="s">
        <v>90</v>
      </c>
      <c r="B13" s="16" t="s">
        <v>92</v>
      </c>
      <c r="C13" s="16" t="s">
        <v>63</v>
      </c>
      <c r="D13" s="16" t="s">
        <v>469</v>
      </c>
      <c r="E13" s="16" t="s">
        <v>468</v>
      </c>
      <c r="F13" s="16" t="s">
        <v>467</v>
      </c>
      <c r="G13" s="16" t="s">
        <v>466</v>
      </c>
    </row>
    <row r="14" spans="1:7" ht="51.75" customHeight="1" x14ac:dyDescent="0.3">
      <c r="A14" s="15" t="s">
        <v>90</v>
      </c>
      <c r="B14" s="16" t="s">
        <v>66</v>
      </c>
      <c r="C14" s="16" t="s">
        <v>65</v>
      </c>
      <c r="D14" s="16" t="s">
        <v>465</v>
      </c>
      <c r="E14" s="16" t="s">
        <v>464</v>
      </c>
      <c r="F14" s="16" t="s">
        <v>463</v>
      </c>
      <c r="G14" s="16" t="s">
        <v>462</v>
      </c>
    </row>
    <row r="15" spans="1:7" ht="51.75" customHeight="1" x14ac:dyDescent="0.3">
      <c r="A15" s="17" t="s">
        <v>93</v>
      </c>
      <c r="B15" s="18" t="s">
        <v>94</v>
      </c>
      <c r="C15" s="18" t="s">
        <v>69</v>
      </c>
      <c r="D15" s="18" t="s">
        <v>450</v>
      </c>
      <c r="E15" s="18" t="s">
        <v>455</v>
      </c>
      <c r="F15" s="18" t="s">
        <v>458</v>
      </c>
      <c r="G15" s="18" t="s">
        <v>459</v>
      </c>
    </row>
    <row r="16" spans="1:7" ht="51.75" customHeight="1" x14ac:dyDescent="0.3">
      <c r="A16" s="17" t="s">
        <v>93</v>
      </c>
      <c r="B16" s="18" t="s">
        <v>95</v>
      </c>
      <c r="C16" s="18" t="s">
        <v>67</v>
      </c>
      <c r="D16" s="18" t="s">
        <v>451</v>
      </c>
      <c r="E16" s="18" t="s">
        <v>454</v>
      </c>
      <c r="F16" s="18" t="s">
        <v>456</v>
      </c>
      <c r="G16" s="18" t="s">
        <v>460</v>
      </c>
    </row>
    <row r="17" spans="1:7" ht="51.75" customHeight="1" x14ac:dyDescent="0.3">
      <c r="A17" s="17" t="s">
        <v>93</v>
      </c>
      <c r="B17" s="18" t="s">
        <v>96</v>
      </c>
      <c r="C17" s="18" t="s">
        <v>97</v>
      </c>
      <c r="D17" s="18" t="s">
        <v>452</v>
      </c>
      <c r="E17" s="18" t="s">
        <v>453</v>
      </c>
      <c r="F17" s="18" t="s">
        <v>457</v>
      </c>
      <c r="G17" s="18" t="s">
        <v>461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0000"/>
  </sheetPr>
  <dimension ref="A1:N22"/>
  <sheetViews>
    <sheetView showGridLines="0" tabSelected="1" zoomScale="85" zoomScaleNormal="85" workbookViewId="0">
      <pane ySplit="2" topLeftCell="A3" activePane="bottomLeft" state="frozen"/>
      <selection pane="bottomLeft" activeCell="C16" sqref="C16:H16"/>
    </sheetView>
  </sheetViews>
  <sheetFormatPr defaultColWidth="8.6640625" defaultRowHeight="14.4" x14ac:dyDescent="0.3"/>
  <cols>
    <col min="1" max="1" width="7" customWidth="1"/>
    <col min="2" max="2" width="20" customWidth="1"/>
    <col min="3" max="3" width="16" customWidth="1"/>
    <col min="4" max="4" width="22" customWidth="1"/>
    <col min="5" max="5" width="28" customWidth="1"/>
    <col min="6" max="8" width="10" customWidth="1"/>
    <col min="9" max="9" width="12" customWidth="1"/>
    <col min="10" max="10" width="14" customWidth="1"/>
    <col min="11" max="11" width="28" customWidth="1"/>
    <col min="12" max="12" width="16" customWidth="1"/>
    <col min="13" max="13" width="14" customWidth="1"/>
    <col min="14" max="14" width="63.33203125" customWidth="1"/>
  </cols>
  <sheetData>
    <row r="1" spans="1:14" ht="30" customHeight="1" x14ac:dyDescent="0.3">
      <c r="A1" s="19" t="s">
        <v>98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24"/>
    </row>
    <row r="2" spans="1:14" ht="36" customHeight="1" x14ac:dyDescent="0.3">
      <c r="A2" s="19" t="s">
        <v>321</v>
      </c>
      <c r="B2" s="19" t="s">
        <v>99</v>
      </c>
      <c r="C2" s="19" t="s">
        <v>100</v>
      </c>
      <c r="D2" s="19" t="s">
        <v>101</v>
      </c>
      <c r="E2" s="19" t="s">
        <v>102</v>
      </c>
      <c r="F2" s="19" t="s">
        <v>103</v>
      </c>
      <c r="G2" s="19" t="s">
        <v>104</v>
      </c>
      <c r="H2" s="19" t="s">
        <v>105</v>
      </c>
      <c r="I2" s="19" t="s">
        <v>106</v>
      </c>
      <c r="J2" s="19" t="s">
        <v>107</v>
      </c>
      <c r="K2" s="19" t="s">
        <v>108</v>
      </c>
      <c r="L2" s="19" t="s">
        <v>109</v>
      </c>
      <c r="M2" s="19" t="s">
        <v>110</v>
      </c>
      <c r="N2" s="19" t="s">
        <v>111</v>
      </c>
    </row>
    <row r="3" spans="1:14" ht="39.75" customHeight="1" x14ac:dyDescent="0.3">
      <c r="A3" s="4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0">
        <v>4</v>
      </c>
      <c r="G3" s="20">
        <v>5</v>
      </c>
      <c r="H3" s="21">
        <f t="shared" ref="H3:H13" si="0">F3*G3</f>
        <v>20</v>
      </c>
      <c r="I3" s="22" t="str">
        <f>IF(H3&gt;=12,"High",IF(H3&gt;=6,"Medium","Low"))</f>
        <v>High</v>
      </c>
      <c r="J3" s="2" t="s">
        <v>117</v>
      </c>
      <c r="K3" s="2" t="s">
        <v>118</v>
      </c>
      <c r="L3" s="2" t="s">
        <v>119</v>
      </c>
      <c r="M3" s="2" t="s">
        <v>120</v>
      </c>
      <c r="N3" s="46">
        <v>46203</v>
      </c>
    </row>
    <row r="4" spans="1:14" ht="39.75" customHeight="1" x14ac:dyDescent="0.3">
      <c r="A4" s="6" t="s">
        <v>121</v>
      </c>
      <c r="B4" s="7" t="s">
        <v>122</v>
      </c>
      <c r="C4" s="7" t="s">
        <v>114</v>
      </c>
      <c r="D4" s="7" t="s">
        <v>123</v>
      </c>
      <c r="E4" s="7" t="s">
        <v>124</v>
      </c>
      <c r="F4" s="23">
        <v>4</v>
      </c>
      <c r="G4" s="23">
        <v>5</v>
      </c>
      <c r="H4" s="24">
        <f t="shared" si="0"/>
        <v>20</v>
      </c>
      <c r="I4" s="22" t="str">
        <f t="shared" ref="I4:I5" si="1">IF(H4&gt;=12,"High",IF(H4&gt;=6,"Medium","Low"))</f>
        <v>High</v>
      </c>
      <c r="J4" s="7" t="s">
        <v>117</v>
      </c>
      <c r="K4" s="7" t="s">
        <v>125</v>
      </c>
      <c r="L4" s="7" t="s">
        <v>114</v>
      </c>
      <c r="M4" s="7" t="s">
        <v>126</v>
      </c>
      <c r="N4" s="47">
        <v>45838</v>
      </c>
    </row>
    <row r="5" spans="1:14" ht="39.75" customHeight="1" x14ac:dyDescent="0.3">
      <c r="A5" s="4" t="s">
        <v>127</v>
      </c>
      <c r="B5" s="2" t="s">
        <v>128</v>
      </c>
      <c r="C5" s="2" t="s">
        <v>129</v>
      </c>
      <c r="D5" s="2" t="s">
        <v>130</v>
      </c>
      <c r="E5" s="2" t="s">
        <v>131</v>
      </c>
      <c r="F5" s="20">
        <v>3</v>
      </c>
      <c r="G5" s="20">
        <v>5</v>
      </c>
      <c r="H5" s="21">
        <f>F5*G5</f>
        <v>15</v>
      </c>
      <c r="I5" s="22" t="str">
        <f t="shared" si="1"/>
        <v>High</v>
      </c>
      <c r="J5" s="2" t="s">
        <v>117</v>
      </c>
      <c r="K5" s="2" t="s">
        <v>132</v>
      </c>
      <c r="L5" s="2" t="s">
        <v>114</v>
      </c>
      <c r="M5" s="2" t="s">
        <v>120</v>
      </c>
      <c r="N5" s="46">
        <v>46234</v>
      </c>
    </row>
    <row r="6" spans="1:14" ht="39.75" customHeight="1" x14ac:dyDescent="0.3">
      <c r="A6" s="6" t="s">
        <v>133</v>
      </c>
      <c r="B6" s="7" t="s">
        <v>134</v>
      </c>
      <c r="C6" s="7" t="s">
        <v>135</v>
      </c>
      <c r="D6" s="7" t="s">
        <v>136</v>
      </c>
      <c r="E6" s="7" t="s">
        <v>137</v>
      </c>
      <c r="F6" s="23">
        <v>3</v>
      </c>
      <c r="G6" s="23">
        <v>4</v>
      </c>
      <c r="H6" s="24">
        <f>F6*G6</f>
        <v>12</v>
      </c>
      <c r="I6" s="22" t="str">
        <f>IF(H6&gt;12,"High",IF(H6&gt;=6,"Medium","Low"))</f>
        <v>Medium</v>
      </c>
      <c r="J6" s="7" t="s">
        <v>117</v>
      </c>
      <c r="K6" s="7" t="s">
        <v>138</v>
      </c>
      <c r="L6" s="7" t="s">
        <v>135</v>
      </c>
      <c r="M6" s="7" t="s">
        <v>139</v>
      </c>
      <c r="N6" s="47">
        <v>46265</v>
      </c>
    </row>
    <row r="7" spans="1:14" ht="39.75" customHeight="1" x14ac:dyDescent="0.3">
      <c r="A7" s="4" t="s">
        <v>140</v>
      </c>
      <c r="B7" s="2" t="s">
        <v>141</v>
      </c>
      <c r="C7" s="2" t="s">
        <v>114</v>
      </c>
      <c r="D7" s="2" t="s">
        <v>142</v>
      </c>
      <c r="E7" s="2" t="s">
        <v>143</v>
      </c>
      <c r="F7" s="20">
        <v>4</v>
      </c>
      <c r="G7" s="20">
        <v>5</v>
      </c>
      <c r="H7" s="21">
        <f t="shared" si="0"/>
        <v>20</v>
      </c>
      <c r="I7" s="22" t="str">
        <f t="shared" ref="I7:I13" si="2">IF(H7&gt;12,"High",IF(H7&gt;=6,"Medium","Low"))</f>
        <v>High</v>
      </c>
      <c r="J7" s="2" t="s">
        <v>117</v>
      </c>
      <c r="K7" s="2" t="s">
        <v>144</v>
      </c>
      <c r="L7" s="2" t="s">
        <v>114</v>
      </c>
      <c r="M7" s="2" t="s">
        <v>120</v>
      </c>
      <c r="N7" s="46">
        <v>46203</v>
      </c>
    </row>
    <row r="8" spans="1:14" ht="39.75" customHeight="1" x14ac:dyDescent="0.3">
      <c r="A8" s="6" t="s">
        <v>145</v>
      </c>
      <c r="B8" s="7" t="s">
        <v>146</v>
      </c>
      <c r="C8" s="7" t="s">
        <v>147</v>
      </c>
      <c r="D8" s="7" t="s">
        <v>148</v>
      </c>
      <c r="E8" s="7" t="s">
        <v>149</v>
      </c>
      <c r="F8" s="23">
        <v>3</v>
      </c>
      <c r="G8" s="23">
        <v>4</v>
      </c>
      <c r="H8" s="24">
        <f t="shared" si="0"/>
        <v>12</v>
      </c>
      <c r="I8" s="22" t="str">
        <f t="shared" si="2"/>
        <v>Medium</v>
      </c>
      <c r="J8" s="7" t="s">
        <v>117</v>
      </c>
      <c r="K8" s="7" t="s">
        <v>150</v>
      </c>
      <c r="L8" s="7" t="s">
        <v>151</v>
      </c>
      <c r="M8" s="7" t="s">
        <v>139</v>
      </c>
      <c r="N8" s="47">
        <v>46295</v>
      </c>
    </row>
    <row r="9" spans="1:14" ht="39.75" customHeight="1" x14ac:dyDescent="0.3">
      <c r="A9" s="4" t="s">
        <v>152</v>
      </c>
      <c r="B9" s="2" t="s">
        <v>153</v>
      </c>
      <c r="C9" s="2" t="s">
        <v>154</v>
      </c>
      <c r="D9" s="2" t="s">
        <v>155</v>
      </c>
      <c r="E9" s="2" t="s">
        <v>156</v>
      </c>
      <c r="F9" s="20">
        <v>3</v>
      </c>
      <c r="G9" s="20">
        <v>4</v>
      </c>
      <c r="H9" s="21">
        <f t="shared" si="0"/>
        <v>12</v>
      </c>
      <c r="I9" s="22" t="str">
        <f t="shared" si="2"/>
        <v>Medium</v>
      </c>
      <c r="J9" s="2" t="s">
        <v>117</v>
      </c>
      <c r="K9" s="2" t="s">
        <v>157</v>
      </c>
      <c r="L9" s="2" t="s">
        <v>158</v>
      </c>
      <c r="M9" s="2" t="s">
        <v>139</v>
      </c>
      <c r="N9" s="46">
        <v>46265</v>
      </c>
    </row>
    <row r="10" spans="1:14" ht="39.75" customHeight="1" x14ac:dyDescent="0.3">
      <c r="A10" s="6" t="s">
        <v>159</v>
      </c>
      <c r="B10" s="7" t="s">
        <v>160</v>
      </c>
      <c r="C10" s="7" t="s">
        <v>161</v>
      </c>
      <c r="D10" s="7" t="s">
        <v>162</v>
      </c>
      <c r="E10" s="7" t="s">
        <v>163</v>
      </c>
      <c r="F10" s="23">
        <v>3</v>
      </c>
      <c r="G10" s="23">
        <v>4</v>
      </c>
      <c r="H10" s="24">
        <f t="shared" si="0"/>
        <v>12</v>
      </c>
      <c r="I10" s="22" t="str">
        <f t="shared" si="2"/>
        <v>Medium</v>
      </c>
      <c r="J10" s="7" t="s">
        <v>117</v>
      </c>
      <c r="K10" s="7" t="s">
        <v>164</v>
      </c>
      <c r="L10" s="7" t="s">
        <v>114</v>
      </c>
      <c r="M10" s="7" t="s">
        <v>139</v>
      </c>
      <c r="N10" s="47">
        <v>46295</v>
      </c>
    </row>
    <row r="11" spans="1:14" ht="39.75" customHeight="1" x14ac:dyDescent="0.3">
      <c r="A11" s="4" t="s">
        <v>165</v>
      </c>
      <c r="B11" s="2" t="s">
        <v>166</v>
      </c>
      <c r="C11" s="2" t="s">
        <v>167</v>
      </c>
      <c r="D11" s="2" t="s">
        <v>168</v>
      </c>
      <c r="E11" s="2" t="s">
        <v>169</v>
      </c>
      <c r="F11" s="20">
        <v>4</v>
      </c>
      <c r="G11" s="20">
        <v>4</v>
      </c>
      <c r="H11" s="21">
        <f t="shared" si="0"/>
        <v>16</v>
      </c>
      <c r="I11" s="22" t="str">
        <f t="shared" si="2"/>
        <v>High</v>
      </c>
      <c r="J11" s="2" t="s">
        <v>117</v>
      </c>
      <c r="K11" s="2" t="s">
        <v>170</v>
      </c>
      <c r="L11" s="2" t="s">
        <v>167</v>
      </c>
      <c r="M11" s="2" t="s">
        <v>120</v>
      </c>
      <c r="N11" s="46">
        <v>46234</v>
      </c>
    </row>
    <row r="12" spans="1:14" ht="39.75" customHeight="1" x14ac:dyDescent="0.3">
      <c r="A12" s="6" t="s">
        <v>171</v>
      </c>
      <c r="B12" s="7" t="s">
        <v>172</v>
      </c>
      <c r="C12" s="7" t="s">
        <v>173</v>
      </c>
      <c r="D12" s="7" t="s">
        <v>174</v>
      </c>
      <c r="E12" s="7" t="s">
        <v>175</v>
      </c>
      <c r="F12" s="23">
        <v>2</v>
      </c>
      <c r="G12" s="23">
        <v>4</v>
      </c>
      <c r="H12" s="24">
        <f t="shared" si="0"/>
        <v>8</v>
      </c>
      <c r="I12" s="22" t="str">
        <f t="shared" si="2"/>
        <v>Medium</v>
      </c>
      <c r="J12" s="7" t="s">
        <v>117</v>
      </c>
      <c r="K12" s="7" t="s">
        <v>176</v>
      </c>
      <c r="L12" s="7" t="s">
        <v>173</v>
      </c>
      <c r="M12" s="7" t="s">
        <v>139</v>
      </c>
      <c r="N12" s="47">
        <v>46295</v>
      </c>
    </row>
    <row r="13" spans="1:14" ht="26.4" x14ac:dyDescent="0.3">
      <c r="A13" s="4" t="s">
        <v>474</v>
      </c>
      <c r="B13" s="2" t="s">
        <v>475</v>
      </c>
      <c r="C13" s="2" t="s">
        <v>476</v>
      </c>
      <c r="D13" s="2" t="s">
        <v>477</v>
      </c>
      <c r="E13" s="2" t="s">
        <v>478</v>
      </c>
      <c r="F13" s="20">
        <v>1</v>
      </c>
      <c r="G13" s="20">
        <v>3</v>
      </c>
      <c r="H13" s="20">
        <f t="shared" si="0"/>
        <v>3</v>
      </c>
      <c r="I13" s="22" t="str">
        <f t="shared" si="2"/>
        <v>Low</v>
      </c>
      <c r="J13" s="2" t="s">
        <v>117</v>
      </c>
      <c r="K13" s="46" t="s">
        <v>479</v>
      </c>
      <c r="L13" s="2" t="s">
        <v>114</v>
      </c>
      <c r="M13" s="2" t="s">
        <v>139</v>
      </c>
      <c r="N13" s="46">
        <v>46386</v>
      </c>
    </row>
    <row r="14" spans="1:14" x14ac:dyDescent="0.3">
      <c r="A14" s="44"/>
      <c r="B14" s="45"/>
      <c r="C14" s="37"/>
      <c r="D14" s="25"/>
      <c r="E14" s="25"/>
      <c r="F14" s="25"/>
      <c r="G14" s="25"/>
      <c r="H14" s="25"/>
      <c r="I14" s="22"/>
      <c r="J14" s="25"/>
      <c r="K14" s="25"/>
      <c r="L14" s="25"/>
      <c r="M14" s="25"/>
      <c r="N14" s="25"/>
    </row>
    <row r="15" spans="1:14" x14ac:dyDescent="0.3">
      <c r="A15" s="38"/>
      <c r="B15" s="39"/>
      <c r="C15" s="37"/>
      <c r="D15" s="25"/>
      <c r="E15" s="25"/>
      <c r="F15" s="25"/>
      <c r="G15" s="25"/>
      <c r="H15" s="25"/>
      <c r="I15" s="22"/>
      <c r="J15" s="25"/>
      <c r="K15" s="25"/>
      <c r="L15" s="25"/>
      <c r="M15" s="25"/>
      <c r="N15" s="25"/>
    </row>
    <row r="16" spans="1:14" ht="24" x14ac:dyDescent="0.3">
      <c r="A16" s="40"/>
      <c r="B16" s="41"/>
      <c r="C16" s="19"/>
      <c r="D16" s="19" t="s">
        <v>106</v>
      </c>
      <c r="E16" s="19" t="s">
        <v>481</v>
      </c>
      <c r="F16" s="19" t="s">
        <v>482</v>
      </c>
      <c r="G16" s="19" t="s">
        <v>483</v>
      </c>
      <c r="H16" s="19"/>
      <c r="I16" s="22"/>
      <c r="J16" s="25"/>
      <c r="K16" s="25"/>
      <c r="L16" s="25"/>
      <c r="M16" s="25"/>
      <c r="N16" s="25"/>
    </row>
    <row r="17" spans="1:14" x14ac:dyDescent="0.3">
      <c r="A17" s="42"/>
      <c r="B17" s="43"/>
      <c r="C17" s="37"/>
      <c r="D17" s="25"/>
      <c r="E17" s="25"/>
      <c r="F17" s="25"/>
      <c r="G17" s="25"/>
      <c r="H17" s="25"/>
      <c r="I17" s="22"/>
      <c r="J17" s="25"/>
      <c r="K17" s="25"/>
      <c r="L17" s="25"/>
      <c r="M17" s="25"/>
      <c r="N17" s="25"/>
    </row>
    <row r="18" spans="1:14" x14ac:dyDescent="0.3">
      <c r="A18" s="35"/>
      <c r="B18" s="36"/>
      <c r="C18" s="37"/>
      <c r="D18" s="25"/>
      <c r="E18" s="25"/>
      <c r="F18" s="25"/>
      <c r="G18" s="25"/>
      <c r="H18" s="25"/>
      <c r="I18" s="22"/>
      <c r="J18" s="25"/>
      <c r="K18" s="25"/>
      <c r="L18" s="25"/>
      <c r="M18" s="25"/>
      <c r="N18" s="25"/>
    </row>
    <row r="19" spans="1:14" x14ac:dyDescent="0.3">
      <c r="A19" s="25"/>
      <c r="B19" s="25"/>
      <c r="C19" s="25"/>
      <c r="D19" s="25"/>
      <c r="E19" s="25"/>
      <c r="F19" s="25"/>
      <c r="G19" s="25"/>
      <c r="H19" s="25"/>
      <c r="I19" s="22"/>
      <c r="J19" s="25"/>
      <c r="K19" s="25"/>
      <c r="L19" s="25"/>
      <c r="M19" s="25"/>
      <c r="N19" s="25"/>
    </row>
    <row r="20" spans="1:14" x14ac:dyDescent="0.3">
      <c r="A20" s="25"/>
      <c r="B20" s="25"/>
      <c r="C20" s="25"/>
      <c r="D20" s="25"/>
      <c r="E20" s="25"/>
      <c r="F20" s="25"/>
      <c r="G20" s="25"/>
      <c r="H20" s="25"/>
      <c r="I20" s="22"/>
      <c r="J20" s="25"/>
      <c r="K20" s="25"/>
      <c r="L20" s="25"/>
      <c r="M20" s="25"/>
      <c r="N20" s="25"/>
    </row>
    <row r="21" spans="1:14" x14ac:dyDescent="0.3">
      <c r="A21" s="25"/>
      <c r="B21" s="25"/>
      <c r="C21" s="25"/>
      <c r="D21" s="25"/>
      <c r="E21" s="25"/>
      <c r="F21" s="25"/>
      <c r="G21" s="25"/>
      <c r="H21" s="25"/>
      <c r="I21" s="22"/>
      <c r="J21" s="25"/>
      <c r="K21" s="25"/>
      <c r="L21" s="25"/>
      <c r="M21" s="25"/>
      <c r="N21" s="25"/>
    </row>
    <row r="22" spans="1:14" x14ac:dyDescent="0.3">
      <c r="A22" s="25"/>
      <c r="B22" s="25"/>
      <c r="C22" s="25"/>
      <c r="D22" s="25"/>
      <c r="E22" s="25"/>
      <c r="F22" s="25"/>
      <c r="G22" s="25"/>
      <c r="H22" s="25"/>
      <c r="I22" s="22"/>
      <c r="J22" s="25"/>
      <c r="K22" s="25"/>
      <c r="L22" s="25"/>
      <c r="M22" s="25"/>
      <c r="N22" s="25"/>
    </row>
  </sheetData>
  <conditionalFormatting sqref="I3:I22">
    <cfRule type="expression" dxfId="2" priority="3">
      <formula>H3&gt;=13</formula>
    </cfRule>
  </conditionalFormatting>
  <conditionalFormatting sqref="I3:I22">
    <cfRule type="expression" dxfId="1" priority="2">
      <formula>AND(H3&gt;=6, H3&lt;=12)</formula>
    </cfRule>
  </conditionalFormatting>
  <conditionalFormatting sqref="I3:I22">
    <cfRule type="expression" dxfId="0" priority="1">
      <formula>H3&lt;=5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F6000"/>
  </sheetPr>
  <dimension ref="A1:G16"/>
  <sheetViews>
    <sheetView showGridLines="0" zoomScale="126" zoomScaleNormal="126" workbookViewId="0">
      <pane ySplit="2" topLeftCell="A3" activePane="bottomLeft" state="frozen"/>
      <selection pane="bottomLeft" activeCell="G8" sqref="G8"/>
    </sheetView>
  </sheetViews>
  <sheetFormatPr defaultColWidth="8.6640625" defaultRowHeight="14.4" x14ac:dyDescent="0.3"/>
  <cols>
    <col min="1" max="1" width="12" customWidth="1"/>
    <col min="2" max="2" width="34" customWidth="1"/>
    <col min="3" max="3" width="12" customWidth="1"/>
    <col min="4" max="4" width="40" customWidth="1"/>
    <col min="5" max="5" width="16" customWidth="1"/>
    <col min="6" max="6" width="10" customWidth="1"/>
    <col min="7" max="7" width="36" customWidth="1"/>
  </cols>
  <sheetData>
    <row r="1" spans="1:7" ht="30" customHeight="1" x14ac:dyDescent="0.3">
      <c r="A1" s="51" t="s">
        <v>177</v>
      </c>
      <c r="B1" s="51"/>
      <c r="C1" s="51"/>
      <c r="D1" s="51"/>
      <c r="E1" s="51"/>
      <c r="F1" s="51"/>
      <c r="G1" s="51"/>
    </row>
    <row r="2" spans="1:7" ht="36" customHeight="1" x14ac:dyDescent="0.3">
      <c r="A2" s="26" t="s">
        <v>178</v>
      </c>
      <c r="B2" s="26" t="s">
        <v>179</v>
      </c>
      <c r="C2" s="26" t="s">
        <v>180</v>
      </c>
      <c r="D2" s="26" t="s">
        <v>181</v>
      </c>
      <c r="E2" s="26" t="s">
        <v>182</v>
      </c>
      <c r="F2" s="26" t="s">
        <v>183</v>
      </c>
      <c r="G2" s="26" t="s">
        <v>184</v>
      </c>
    </row>
    <row r="3" spans="1:7" ht="43.5" customHeight="1" x14ac:dyDescent="0.3">
      <c r="A3" s="4" t="s">
        <v>185</v>
      </c>
      <c r="B3" s="2" t="s">
        <v>186</v>
      </c>
      <c r="C3" s="27" t="s">
        <v>187</v>
      </c>
      <c r="D3" s="2" t="s">
        <v>188</v>
      </c>
      <c r="E3" s="8" t="s">
        <v>126</v>
      </c>
      <c r="F3" s="2" t="s">
        <v>189</v>
      </c>
      <c r="G3" s="2" t="s">
        <v>190</v>
      </c>
    </row>
    <row r="4" spans="1:7" ht="43.5" customHeight="1" x14ac:dyDescent="0.3">
      <c r="A4" s="6" t="s">
        <v>191</v>
      </c>
      <c r="B4" s="7" t="s">
        <v>192</v>
      </c>
      <c r="C4" s="28" t="s">
        <v>187</v>
      </c>
      <c r="D4" s="7" t="s">
        <v>193</v>
      </c>
      <c r="E4" s="9" t="s">
        <v>120</v>
      </c>
      <c r="F4" s="7" t="s">
        <v>121</v>
      </c>
      <c r="G4" s="7" t="s">
        <v>194</v>
      </c>
    </row>
    <row r="5" spans="1:7" ht="43.5" customHeight="1" x14ac:dyDescent="0.3">
      <c r="A5" s="4" t="s">
        <v>195</v>
      </c>
      <c r="B5" s="2" t="s">
        <v>196</v>
      </c>
      <c r="C5" s="27" t="s">
        <v>187</v>
      </c>
      <c r="D5" s="2" t="s">
        <v>197</v>
      </c>
      <c r="E5" s="8" t="s">
        <v>126</v>
      </c>
      <c r="F5" s="2" t="s">
        <v>121</v>
      </c>
      <c r="G5" s="2" t="s">
        <v>198</v>
      </c>
    </row>
    <row r="6" spans="1:7" ht="43.5" customHeight="1" x14ac:dyDescent="0.3">
      <c r="A6" s="6" t="s">
        <v>199</v>
      </c>
      <c r="B6" s="7" t="s">
        <v>200</v>
      </c>
      <c r="C6" s="28" t="s">
        <v>187</v>
      </c>
      <c r="D6" s="7" t="s">
        <v>201</v>
      </c>
      <c r="E6" s="5" t="s">
        <v>139</v>
      </c>
      <c r="F6" s="7" t="s">
        <v>145</v>
      </c>
      <c r="G6" s="7" t="s">
        <v>202</v>
      </c>
    </row>
    <row r="7" spans="1:7" ht="43.5" customHeight="1" x14ac:dyDescent="0.3">
      <c r="A7" s="4" t="s">
        <v>203</v>
      </c>
      <c r="B7" s="2" t="s">
        <v>204</v>
      </c>
      <c r="C7" s="27" t="s">
        <v>187</v>
      </c>
      <c r="D7" s="2" t="s">
        <v>205</v>
      </c>
      <c r="E7" s="9" t="s">
        <v>120</v>
      </c>
      <c r="F7" s="2" t="s">
        <v>165</v>
      </c>
      <c r="G7" s="2" t="s">
        <v>206</v>
      </c>
    </row>
    <row r="8" spans="1:7" ht="43.5" customHeight="1" x14ac:dyDescent="0.3">
      <c r="A8" s="6" t="s">
        <v>207</v>
      </c>
      <c r="B8" s="7" t="s">
        <v>208</v>
      </c>
      <c r="C8" s="28" t="s">
        <v>187</v>
      </c>
      <c r="D8" s="7" t="s">
        <v>209</v>
      </c>
      <c r="E8" s="8" t="s">
        <v>126</v>
      </c>
      <c r="F8" s="7" t="s">
        <v>112</v>
      </c>
      <c r="G8" s="7" t="s">
        <v>210</v>
      </c>
    </row>
    <row r="9" spans="1:7" ht="43.5" customHeight="1" x14ac:dyDescent="0.3">
      <c r="A9" s="4" t="s">
        <v>211</v>
      </c>
      <c r="B9" s="2" t="s">
        <v>212</v>
      </c>
      <c r="C9" s="27" t="s">
        <v>187</v>
      </c>
      <c r="D9" s="2" t="s">
        <v>213</v>
      </c>
      <c r="E9" s="5" t="s">
        <v>139</v>
      </c>
      <c r="F9" s="2" t="s">
        <v>152</v>
      </c>
      <c r="G9" s="2" t="s">
        <v>214</v>
      </c>
    </row>
    <row r="10" spans="1:7" ht="43.5" customHeight="1" x14ac:dyDescent="0.3">
      <c r="A10" s="6" t="s">
        <v>215</v>
      </c>
      <c r="B10" s="7" t="s">
        <v>216</v>
      </c>
      <c r="C10" s="28" t="s">
        <v>187</v>
      </c>
      <c r="D10" s="7" t="s">
        <v>217</v>
      </c>
      <c r="E10" s="5" t="s">
        <v>139</v>
      </c>
      <c r="F10" s="7" t="s">
        <v>159</v>
      </c>
      <c r="G10" s="7" t="s">
        <v>218</v>
      </c>
    </row>
    <row r="11" spans="1:7" ht="43.5" customHeight="1" x14ac:dyDescent="0.3">
      <c r="A11" s="4" t="s">
        <v>219</v>
      </c>
      <c r="B11" s="2" t="s">
        <v>220</v>
      </c>
      <c r="C11" s="27" t="s">
        <v>187</v>
      </c>
      <c r="D11" s="2" t="s">
        <v>221</v>
      </c>
      <c r="E11" s="8" t="s">
        <v>126</v>
      </c>
      <c r="F11" s="2" t="s">
        <v>121</v>
      </c>
      <c r="G11" s="2" t="s">
        <v>222</v>
      </c>
    </row>
    <row r="12" spans="1:7" ht="43.5" customHeight="1" x14ac:dyDescent="0.3">
      <c r="A12" s="6" t="s">
        <v>223</v>
      </c>
      <c r="B12" s="7" t="s">
        <v>224</v>
      </c>
      <c r="C12" s="28" t="s">
        <v>187</v>
      </c>
      <c r="D12" s="7" t="s">
        <v>225</v>
      </c>
      <c r="E12" s="5" t="s">
        <v>139</v>
      </c>
      <c r="F12" s="7" t="s">
        <v>127</v>
      </c>
      <c r="G12" s="7" t="s">
        <v>226</v>
      </c>
    </row>
    <row r="13" spans="1:7" ht="43.5" customHeight="1" x14ac:dyDescent="0.3">
      <c r="A13" s="4" t="s">
        <v>227</v>
      </c>
      <c r="B13" s="2" t="s">
        <v>228</v>
      </c>
      <c r="C13" s="27" t="s">
        <v>187</v>
      </c>
      <c r="D13" s="2" t="s">
        <v>229</v>
      </c>
      <c r="E13" s="9" t="s">
        <v>120</v>
      </c>
      <c r="F13" s="2" t="s">
        <v>140</v>
      </c>
      <c r="G13" s="2" t="s">
        <v>230</v>
      </c>
    </row>
    <row r="14" spans="1:7" ht="43.5" customHeight="1" x14ac:dyDescent="0.3">
      <c r="A14" s="6" t="s">
        <v>231</v>
      </c>
      <c r="B14" s="7" t="s">
        <v>232</v>
      </c>
      <c r="C14" s="28" t="s">
        <v>187</v>
      </c>
      <c r="D14" s="7" t="s">
        <v>233</v>
      </c>
      <c r="E14" s="5" t="s">
        <v>139</v>
      </c>
      <c r="F14" s="7" t="s">
        <v>133</v>
      </c>
      <c r="G14" s="7" t="s">
        <v>234</v>
      </c>
    </row>
    <row r="15" spans="1:7" ht="43.5" customHeight="1" x14ac:dyDescent="0.3">
      <c r="A15" s="4" t="s">
        <v>235</v>
      </c>
      <c r="B15" s="2" t="s">
        <v>236</v>
      </c>
      <c r="C15" s="27" t="s">
        <v>187</v>
      </c>
      <c r="D15" s="2" t="s">
        <v>237</v>
      </c>
      <c r="E15" s="9" t="s">
        <v>120</v>
      </c>
      <c r="F15" s="2" t="s">
        <v>112</v>
      </c>
      <c r="G15" s="2" t="s">
        <v>238</v>
      </c>
    </row>
    <row r="16" spans="1:7" ht="43.5" customHeight="1" x14ac:dyDescent="0.3">
      <c r="A16" s="6" t="s">
        <v>239</v>
      </c>
      <c r="B16" s="7" t="s">
        <v>240</v>
      </c>
      <c r="C16" s="28" t="s">
        <v>187</v>
      </c>
      <c r="D16" s="7" t="s">
        <v>241</v>
      </c>
      <c r="E16" s="9" t="s">
        <v>120</v>
      </c>
      <c r="F16" s="7" t="s">
        <v>127</v>
      </c>
      <c r="G16" s="7" t="s">
        <v>242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3B78"/>
  </sheetPr>
  <dimension ref="A1:G25"/>
  <sheetViews>
    <sheetView showGridLines="0" zoomScale="96" zoomScaleNormal="96" workbookViewId="0">
      <pane ySplit="2" topLeftCell="A19" activePane="bottomLeft" state="frozen"/>
      <selection pane="bottomLeft" activeCell="D20" sqref="D20"/>
    </sheetView>
  </sheetViews>
  <sheetFormatPr defaultColWidth="8.6640625" defaultRowHeight="14.4" x14ac:dyDescent="0.3"/>
  <cols>
    <col min="1" max="1" width="8" customWidth="1"/>
    <col min="2" max="2" width="20" customWidth="1"/>
    <col min="3" max="3" width="38" customWidth="1"/>
    <col min="4" max="4" width="32" customWidth="1"/>
    <col min="5" max="5" width="10" customWidth="1"/>
    <col min="6" max="6" width="30" customWidth="1"/>
    <col min="7" max="7" width="14" customWidth="1"/>
  </cols>
  <sheetData>
    <row r="1" spans="1:7" ht="30" customHeight="1" x14ac:dyDescent="0.3">
      <c r="A1" s="51" t="s">
        <v>243</v>
      </c>
      <c r="B1" s="51"/>
      <c r="C1" s="51"/>
      <c r="D1" s="51"/>
      <c r="E1" s="51"/>
      <c r="F1" s="51"/>
      <c r="G1" s="51"/>
    </row>
    <row r="2" spans="1:7" ht="36" customHeight="1" x14ac:dyDescent="0.3">
      <c r="A2" s="26" t="s">
        <v>30</v>
      </c>
      <c r="B2" s="26" t="s">
        <v>244</v>
      </c>
      <c r="C2" s="26" t="s">
        <v>245</v>
      </c>
      <c r="D2" s="26" t="s">
        <v>246</v>
      </c>
      <c r="E2" s="26" t="s">
        <v>247</v>
      </c>
      <c r="F2" s="26" t="s">
        <v>184</v>
      </c>
      <c r="G2" s="26" t="s">
        <v>248</v>
      </c>
    </row>
    <row r="3" spans="1:7" ht="45.75" customHeight="1" x14ac:dyDescent="0.3">
      <c r="A3" s="4" t="s">
        <v>36</v>
      </c>
      <c r="B3" s="2" t="s">
        <v>249</v>
      </c>
      <c r="C3" s="2" t="s">
        <v>250</v>
      </c>
      <c r="D3" s="2" t="s">
        <v>251</v>
      </c>
      <c r="E3" s="13" t="s">
        <v>252</v>
      </c>
      <c r="F3" s="2" t="s">
        <v>253</v>
      </c>
      <c r="G3" s="2" t="s">
        <v>480</v>
      </c>
    </row>
    <row r="4" spans="1:7" ht="45.75" customHeight="1" x14ac:dyDescent="0.3">
      <c r="A4" s="6" t="s">
        <v>38</v>
      </c>
      <c r="B4" s="7" t="s">
        <v>254</v>
      </c>
      <c r="C4" s="7" t="s">
        <v>255</v>
      </c>
      <c r="D4" s="7" t="s">
        <v>256</v>
      </c>
      <c r="E4" s="13" t="s">
        <v>252</v>
      </c>
      <c r="F4" s="7" t="s">
        <v>257</v>
      </c>
      <c r="G4" s="7" t="s">
        <v>480</v>
      </c>
    </row>
    <row r="5" spans="1:7" ht="45.75" customHeight="1" x14ac:dyDescent="0.3">
      <c r="A5" s="4" t="s">
        <v>39</v>
      </c>
      <c r="B5" s="2" t="s">
        <v>258</v>
      </c>
      <c r="C5" s="2" t="s">
        <v>259</v>
      </c>
      <c r="D5" s="2" t="s">
        <v>79</v>
      </c>
      <c r="E5" s="13" t="s">
        <v>252</v>
      </c>
      <c r="F5" s="2" t="s">
        <v>260</v>
      </c>
      <c r="G5" s="2" t="s">
        <v>480</v>
      </c>
    </row>
    <row r="6" spans="1:7" ht="45.75" customHeight="1" x14ac:dyDescent="0.3">
      <c r="A6" s="6" t="s">
        <v>41</v>
      </c>
      <c r="B6" s="7" t="s">
        <v>261</v>
      </c>
      <c r="C6" s="7" t="s">
        <v>262</v>
      </c>
      <c r="D6" s="7" t="s">
        <v>263</v>
      </c>
      <c r="E6" s="13" t="s">
        <v>252</v>
      </c>
      <c r="F6" s="7" t="s">
        <v>264</v>
      </c>
      <c r="G6" s="7" t="s">
        <v>480</v>
      </c>
    </row>
    <row r="7" spans="1:7" ht="45.75" customHeight="1" x14ac:dyDescent="0.3">
      <c r="A7" s="4" t="s">
        <v>42</v>
      </c>
      <c r="B7" s="2" t="s">
        <v>265</v>
      </c>
      <c r="C7" s="2" t="s">
        <v>266</v>
      </c>
      <c r="D7" s="2" t="s">
        <v>267</v>
      </c>
      <c r="E7" s="13" t="s">
        <v>252</v>
      </c>
      <c r="F7" s="2" t="s">
        <v>268</v>
      </c>
      <c r="G7" s="2" t="s">
        <v>480</v>
      </c>
    </row>
    <row r="8" spans="1:7" ht="45.75" customHeight="1" x14ac:dyDescent="0.3">
      <c r="A8" s="6" t="s">
        <v>43</v>
      </c>
      <c r="B8" s="7" t="s">
        <v>269</v>
      </c>
      <c r="C8" s="7" t="s">
        <v>270</v>
      </c>
      <c r="D8" s="7" t="s">
        <v>271</v>
      </c>
      <c r="E8" s="15" t="s">
        <v>272</v>
      </c>
      <c r="F8" s="7" t="s">
        <v>273</v>
      </c>
      <c r="G8" s="7" t="s">
        <v>480</v>
      </c>
    </row>
    <row r="9" spans="1:7" ht="45.75" customHeight="1" x14ac:dyDescent="0.3">
      <c r="A9" s="4" t="s">
        <v>44</v>
      </c>
      <c r="B9" s="2" t="s">
        <v>45</v>
      </c>
      <c r="C9" s="2" t="s">
        <v>274</v>
      </c>
      <c r="D9" s="2" t="s">
        <v>275</v>
      </c>
      <c r="E9" s="13" t="s">
        <v>252</v>
      </c>
      <c r="F9" s="2" t="s">
        <v>276</v>
      </c>
      <c r="G9" s="2" t="s">
        <v>480</v>
      </c>
    </row>
    <row r="10" spans="1:7" ht="45.75" customHeight="1" x14ac:dyDescent="0.3">
      <c r="A10" s="6" t="s">
        <v>46</v>
      </c>
      <c r="B10" s="7" t="s">
        <v>47</v>
      </c>
      <c r="C10" s="7" t="s">
        <v>277</v>
      </c>
      <c r="D10" s="7" t="s">
        <v>87</v>
      </c>
      <c r="E10" s="17" t="s">
        <v>278</v>
      </c>
      <c r="F10" s="7" t="s">
        <v>279</v>
      </c>
      <c r="G10" s="7" t="s">
        <v>480</v>
      </c>
    </row>
    <row r="11" spans="1:7" ht="45.75" customHeight="1" x14ac:dyDescent="0.3">
      <c r="A11" s="4" t="s">
        <v>48</v>
      </c>
      <c r="B11" s="2" t="s">
        <v>280</v>
      </c>
      <c r="C11" s="2" t="s">
        <v>281</v>
      </c>
      <c r="D11" s="2" t="s">
        <v>282</v>
      </c>
      <c r="E11" s="13" t="s">
        <v>252</v>
      </c>
      <c r="F11" s="2" t="s">
        <v>283</v>
      </c>
      <c r="G11" s="2" t="s">
        <v>480</v>
      </c>
    </row>
    <row r="12" spans="1:7" ht="45.75" customHeight="1" x14ac:dyDescent="0.3">
      <c r="A12" s="6" t="s">
        <v>49</v>
      </c>
      <c r="B12" s="7" t="s">
        <v>50</v>
      </c>
      <c r="C12" s="7" t="s">
        <v>284</v>
      </c>
      <c r="D12" s="7" t="s">
        <v>285</v>
      </c>
      <c r="E12" s="13" t="s">
        <v>252</v>
      </c>
      <c r="F12" s="7" t="s">
        <v>286</v>
      </c>
      <c r="G12" s="7" t="s">
        <v>480</v>
      </c>
    </row>
    <row r="13" spans="1:7" ht="45.75" customHeight="1" x14ac:dyDescent="0.3">
      <c r="A13" s="4" t="s">
        <v>52</v>
      </c>
      <c r="B13" s="2" t="s">
        <v>53</v>
      </c>
      <c r="C13" s="2" t="s">
        <v>287</v>
      </c>
      <c r="D13" s="2" t="s">
        <v>288</v>
      </c>
      <c r="E13" s="13" t="s">
        <v>252</v>
      </c>
      <c r="F13" s="2" t="s">
        <v>289</v>
      </c>
      <c r="G13" s="2" t="s">
        <v>480</v>
      </c>
    </row>
    <row r="14" spans="1:7" ht="45.75" customHeight="1" x14ac:dyDescent="0.3">
      <c r="A14" s="6" t="s">
        <v>54</v>
      </c>
      <c r="B14" s="7" t="s">
        <v>55</v>
      </c>
      <c r="C14" s="7" t="s">
        <v>290</v>
      </c>
      <c r="D14" s="7" t="s">
        <v>291</v>
      </c>
      <c r="E14" s="15" t="s">
        <v>272</v>
      </c>
      <c r="F14" s="7" t="s">
        <v>292</v>
      </c>
      <c r="G14" s="7" t="s">
        <v>480</v>
      </c>
    </row>
    <row r="15" spans="1:7" ht="45.75" customHeight="1" x14ac:dyDescent="0.3">
      <c r="A15" s="4" t="s">
        <v>57</v>
      </c>
      <c r="B15" s="2" t="s">
        <v>293</v>
      </c>
      <c r="C15" s="2" t="s">
        <v>294</v>
      </c>
      <c r="D15" s="2" t="s">
        <v>295</v>
      </c>
      <c r="E15" s="17" t="s">
        <v>278</v>
      </c>
      <c r="F15" s="2" t="s">
        <v>296</v>
      </c>
      <c r="G15" s="2" t="s">
        <v>480</v>
      </c>
    </row>
    <row r="16" spans="1:7" ht="45.75" customHeight="1" x14ac:dyDescent="0.3">
      <c r="A16" s="6" t="s">
        <v>59</v>
      </c>
      <c r="B16" s="7" t="s">
        <v>45</v>
      </c>
      <c r="C16" s="7" t="s">
        <v>297</v>
      </c>
      <c r="D16" s="7" t="s">
        <v>298</v>
      </c>
      <c r="E16" s="13" t="s">
        <v>252</v>
      </c>
      <c r="F16" s="7" t="s">
        <v>299</v>
      </c>
      <c r="G16" s="7" t="s">
        <v>480</v>
      </c>
    </row>
    <row r="17" spans="1:7" ht="45.75" customHeight="1" x14ac:dyDescent="0.3">
      <c r="A17" s="4" t="s">
        <v>61</v>
      </c>
      <c r="B17" s="2" t="s">
        <v>300</v>
      </c>
      <c r="C17" s="2" t="s">
        <v>301</v>
      </c>
      <c r="D17" s="2" t="s">
        <v>302</v>
      </c>
      <c r="E17" s="13" t="s">
        <v>252</v>
      </c>
      <c r="F17" s="2" t="s">
        <v>303</v>
      </c>
      <c r="G17" s="2" t="s">
        <v>480</v>
      </c>
    </row>
    <row r="18" spans="1:7" ht="45.75" customHeight="1" x14ac:dyDescent="0.3">
      <c r="A18" s="6" t="s">
        <v>63</v>
      </c>
      <c r="B18" s="7" t="s">
        <v>64</v>
      </c>
      <c r="C18" s="7" t="s">
        <v>304</v>
      </c>
      <c r="D18" s="7" t="s">
        <v>305</v>
      </c>
      <c r="E18" s="13" t="s">
        <v>252</v>
      </c>
      <c r="F18" s="7" t="s">
        <v>306</v>
      </c>
      <c r="G18" s="7" t="s">
        <v>480</v>
      </c>
    </row>
    <row r="19" spans="1:7" ht="45.75" customHeight="1" x14ac:dyDescent="0.3">
      <c r="A19" s="4" t="s">
        <v>65</v>
      </c>
      <c r="B19" s="2" t="s">
        <v>66</v>
      </c>
      <c r="C19" s="2" t="s">
        <v>307</v>
      </c>
      <c r="D19" s="2" t="s">
        <v>308</v>
      </c>
      <c r="E19" s="13" t="s">
        <v>252</v>
      </c>
      <c r="F19" s="2" t="s">
        <v>309</v>
      </c>
      <c r="G19" s="2" t="s">
        <v>480</v>
      </c>
    </row>
    <row r="20" spans="1:7" ht="45.75" customHeight="1" x14ac:dyDescent="0.3">
      <c r="A20" s="6" t="s">
        <v>69</v>
      </c>
      <c r="B20" s="7" t="s">
        <v>310</v>
      </c>
      <c r="C20" s="7" t="s">
        <v>311</v>
      </c>
      <c r="D20" s="7" t="s">
        <v>312</v>
      </c>
      <c r="E20" s="15" t="s">
        <v>272</v>
      </c>
      <c r="F20" s="7" t="s">
        <v>313</v>
      </c>
      <c r="G20" s="7" t="s">
        <v>480</v>
      </c>
    </row>
    <row r="22" spans="1:7" x14ac:dyDescent="0.3">
      <c r="A22" s="52" t="s">
        <v>314</v>
      </c>
      <c r="B22" s="52"/>
    </row>
    <row r="23" spans="1:7" ht="26.4" x14ac:dyDescent="0.3">
      <c r="A23" s="29" t="s">
        <v>252</v>
      </c>
      <c r="B23" s="30" t="s">
        <v>315</v>
      </c>
    </row>
    <row r="24" spans="1:7" ht="26.4" x14ac:dyDescent="0.3">
      <c r="A24" s="31" t="s">
        <v>278</v>
      </c>
      <c r="B24" s="32" t="s">
        <v>316</v>
      </c>
    </row>
    <row r="25" spans="1:7" ht="26.4" x14ac:dyDescent="0.3">
      <c r="A25" s="33" t="s">
        <v>272</v>
      </c>
      <c r="B25" s="34" t="s">
        <v>317</v>
      </c>
    </row>
  </sheetData>
  <mergeCells count="2">
    <mergeCell ref="A1:G1"/>
    <mergeCell ref="A22:B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Clauses 4–10</vt:lpstr>
      <vt:lpstr>PDCA Cycle</vt:lpstr>
      <vt:lpstr>Risk Register</vt:lpstr>
      <vt:lpstr>Statement of Applicability</vt:lpstr>
      <vt:lpstr>Internal Audit Checklist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Hossam Chebl</cp:lastModifiedBy>
  <cp:revision>0</cp:revision>
  <dcterms:created xsi:type="dcterms:W3CDTF">2026-04-05T13:37:51Z</dcterms:created>
  <dcterms:modified xsi:type="dcterms:W3CDTF">2026-04-08T10:36:56Z</dcterms:modified>
  <dc:language>en-US</dc:language>
</cp:coreProperties>
</file>